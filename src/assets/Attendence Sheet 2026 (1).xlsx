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-2026" sheetId="1" r:id="rId5"/>
    <sheet state="visible" name="MAY-2026" sheetId="2" r:id="rId6"/>
    <sheet state="visible" name="JUNE-2026" sheetId="3" r:id="rId7"/>
    <sheet state="visible" name="JULY-2026" sheetId="4" r:id="rId8"/>
    <sheet state="visible" name="AUG-2026" sheetId="5" r:id="rId9"/>
    <sheet state="visible" name="Sept-2026" sheetId="6" r:id="rId10"/>
  </sheets>
  <definedNames/>
  <calcPr/>
</workbook>
</file>

<file path=xl/sharedStrings.xml><?xml version="1.0" encoding="utf-8"?>
<sst xmlns="http://schemas.openxmlformats.org/spreadsheetml/2006/main" count="2350" uniqueCount="95">
  <si>
    <t>Sl.no.</t>
  </si>
  <si>
    <t>Employee name</t>
  </si>
  <si>
    <t>Designation</t>
  </si>
  <si>
    <t>Present</t>
  </si>
  <si>
    <t>Absent</t>
  </si>
  <si>
    <t>Holiday</t>
  </si>
  <si>
    <t>CL</t>
  </si>
  <si>
    <t>PL</t>
  </si>
  <si>
    <t>CL /PL</t>
  </si>
  <si>
    <t>LOP</t>
  </si>
  <si>
    <t>TOTAL WORKING DAYS</t>
  </si>
  <si>
    <t>Salary</t>
  </si>
  <si>
    <t>EL</t>
  </si>
  <si>
    <t>Working day salary</t>
  </si>
  <si>
    <t>Professional TAX</t>
  </si>
  <si>
    <t>amount after PT</t>
  </si>
  <si>
    <t xml:space="preserve">Reimbursement </t>
  </si>
  <si>
    <t>final payout</t>
  </si>
  <si>
    <t>Wednesday</t>
  </si>
  <si>
    <t>Thursday</t>
  </si>
  <si>
    <t>Friday</t>
  </si>
  <si>
    <t>Saturday</t>
  </si>
  <si>
    <t>Sunday</t>
  </si>
  <si>
    <t xml:space="preserve">Monday </t>
  </si>
  <si>
    <t>Monday</t>
  </si>
  <si>
    <t>Tuesday</t>
  </si>
  <si>
    <t xml:space="preserve">Wednesday </t>
  </si>
  <si>
    <t xml:space="preserve">Thursday </t>
  </si>
  <si>
    <t xml:space="preserve">Saturday </t>
  </si>
  <si>
    <t xml:space="preserve">Tuesday </t>
  </si>
  <si>
    <t xml:space="preserve">Friday </t>
  </si>
  <si>
    <t xml:space="preserve">Sunday </t>
  </si>
  <si>
    <t>Om</t>
  </si>
  <si>
    <t>BDA</t>
  </si>
  <si>
    <t>P</t>
  </si>
  <si>
    <t>H</t>
  </si>
  <si>
    <t xml:space="preserve">Himani </t>
  </si>
  <si>
    <t>Fazil</t>
  </si>
  <si>
    <t>Performance Marketer</t>
  </si>
  <si>
    <t>Ekta</t>
  </si>
  <si>
    <t>HR &amp; Operations Exe.</t>
  </si>
  <si>
    <t>Akshita</t>
  </si>
  <si>
    <t>HR &amp; Operations Intern</t>
  </si>
  <si>
    <t>Abdul</t>
  </si>
  <si>
    <t>C-Suite</t>
  </si>
  <si>
    <t xml:space="preserve">Ekta </t>
  </si>
  <si>
    <t>Abrar</t>
  </si>
  <si>
    <t>Diksha</t>
  </si>
  <si>
    <t>BDM</t>
  </si>
  <si>
    <t>PAY ROLL</t>
  </si>
  <si>
    <t>PAY OUT</t>
  </si>
  <si>
    <t>Swetha</t>
  </si>
  <si>
    <t>CTC</t>
  </si>
  <si>
    <t>Per Month</t>
  </si>
  <si>
    <t>Per Day</t>
  </si>
  <si>
    <t>Sumanth</t>
  </si>
  <si>
    <t>NO.of WD</t>
  </si>
  <si>
    <t>Website Developer Intern</t>
  </si>
  <si>
    <t xml:space="preserve">NET </t>
  </si>
  <si>
    <t>PT</t>
  </si>
  <si>
    <t>TOTAL PAYMENT</t>
  </si>
  <si>
    <t>A</t>
  </si>
  <si>
    <t>Ehtesham</t>
  </si>
  <si>
    <t>Motion Graphics Designer</t>
  </si>
  <si>
    <t>Sneha Mahajan</t>
  </si>
  <si>
    <t xml:space="preserve">Social media &amp;Content Intern </t>
  </si>
  <si>
    <t>Prajjwal Negi</t>
  </si>
  <si>
    <t>Social media &amp; Content Intern</t>
  </si>
  <si>
    <t>Samit Ali</t>
  </si>
  <si>
    <t>UI/UX Designer intern</t>
  </si>
  <si>
    <t>PAY ROLL (BDA &amp; HR)</t>
  </si>
  <si>
    <t xml:space="preserve"> Reimbursement</t>
  </si>
  <si>
    <t>Abhishek Gore</t>
  </si>
  <si>
    <t xml:space="preserve">Motion Graphic designer </t>
  </si>
  <si>
    <t>d</t>
  </si>
  <si>
    <t>PAY ROLL(PM)</t>
  </si>
  <si>
    <t>PAY ROLL (BDM)</t>
  </si>
  <si>
    <t>PAY ROLL (MGD)</t>
  </si>
  <si>
    <t>PAY ROLL Interns</t>
  </si>
  <si>
    <t>Stipend</t>
  </si>
  <si>
    <t>Per day</t>
  </si>
  <si>
    <t xml:space="preserve">Per day </t>
  </si>
  <si>
    <t>p</t>
  </si>
  <si>
    <t>HR &amp; Operations Executive</t>
  </si>
  <si>
    <t xml:space="preserve">Syed Samit Ali </t>
  </si>
  <si>
    <t>UI/UX Design Intern</t>
  </si>
  <si>
    <t xml:space="preserve">Vivek Rawat </t>
  </si>
  <si>
    <t xml:space="preserve">Performance Marketing Specialist </t>
  </si>
  <si>
    <t>Vennapusa Hemavathi</t>
  </si>
  <si>
    <t>QA Testing Intern</t>
  </si>
  <si>
    <t>Shakshay Gupta</t>
  </si>
  <si>
    <t>Shiwali Singh</t>
  </si>
  <si>
    <t>Anmol Prasad</t>
  </si>
  <si>
    <t>Graphics Design Cum Video editor</t>
  </si>
  <si>
    <t>Venupusa Hemavathi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</si>
</sst>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/>
    <font>
      <b/>
      <sz val="11.0"/>
      <color theme="0"/>
      <name val="Calibri"/>
    </font>
    <font>
      <b/>
      <color theme="1"/>
      <name val="Arial"/>
      <scheme val="minor"/>
    </font>
    <font>
      <b/>
      <sz val="11.0"/>
      <color rgb="FFFFFFFF"/>
      <name val="Calibri"/>
    </font>
    <font>
      <b/>
      <color rgb="FF000000"/>
      <name val="Arial"/>
      <scheme val="minor"/>
    </font>
    <font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A9D08E"/>
        <bgColor rgb="FFA9D08E"/>
      </patternFill>
    </fill>
    <fill>
      <patternFill patternType="solid">
        <fgColor rgb="FFFF0066"/>
        <bgColor rgb="FFFF0066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shrinkToFit="0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top" wrapText="0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top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top" wrapText="0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top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readingOrder="0" shrinkToFit="0" vertical="top" wrapText="0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5" fontId="2" numFmtId="1" xfId="0" applyAlignment="1" applyBorder="1" applyFill="1" applyFont="1" applyNumberForma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vertical="top"/>
    </xf>
    <xf borderId="5" fillId="2" fontId="2" numFmtId="0" xfId="0" applyAlignment="1" applyBorder="1" applyFill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5" fillId="0" fontId="3" numFmtId="0" xfId="0" applyBorder="1" applyFont="1"/>
    <xf borderId="6" fillId="7" fontId="4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7" fillId="5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8" fillId="5" fontId="2" numFmtId="1" xfId="0" applyAlignment="1" applyBorder="1" applyFill="1" applyFont="1" applyNumberFormat="1">
      <alignment horizontal="center" readingOrder="0" shrinkToFit="0" vertical="center" wrapText="1"/>
    </xf>
    <xf borderId="9" fillId="0" fontId="3" numFmtId="0" xfId="0" applyBorder="1" applyFont="1"/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0" fillId="0" fontId="3" numFmtId="0" xfId="0" applyBorder="1" applyFont="1"/>
    <xf borderId="11" fillId="5" fontId="2" numFmtId="1" xfId="0" applyAlignment="1" applyBorder="1" applyFill="1" applyFont="1" applyNumberFormat="1">
      <alignment horizontal="center" readingOrder="0" shrinkToFit="0" vertical="center" wrapText="1"/>
    </xf>
    <xf borderId="1" fillId="5" fontId="5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2" fillId="0" fontId="3" numFmtId="0" xfId="0" applyBorder="1" applyFont="1"/>
    <xf borderId="13" fillId="0" fontId="3" numFmtId="0" xfId="0" applyBorder="1" applyFont="1"/>
    <xf borderId="1" fillId="0" fontId="5" numFmtId="0" xfId="0" applyAlignment="1" applyBorder="1" applyFont="1">
      <alignment horizontal="left" readingOrder="0" shrinkToFit="0" wrapText="1"/>
    </xf>
    <xf borderId="14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wrapText="1"/>
    </xf>
    <xf borderId="15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5" fillId="0" fontId="1" numFmtId="2" xfId="0" applyAlignment="1" applyBorder="1" applyFont="1" applyNumberFormat="1">
      <alignment horizontal="center" readingOrder="0" shrinkToFit="0" vertical="center" wrapText="1"/>
    </xf>
    <xf borderId="15" fillId="0" fontId="1" numFmtId="1" xfId="0" applyAlignment="1" applyBorder="1" applyFont="1" applyNumberFormat="1">
      <alignment horizontal="center" readingOrder="0" shrinkToFit="0" vertical="center" wrapText="1"/>
    </xf>
    <xf borderId="15" fillId="2" fontId="1" numFmtId="1" xfId="0" applyAlignment="1" applyBorder="1" applyFill="1" applyFont="1" applyNumberFormat="1">
      <alignment horizontal="center" readingOrder="0" shrinkToFit="0" vertical="center" wrapText="1"/>
    </xf>
    <xf borderId="15" fillId="9" fontId="5" numFmtId="1" xfId="0" applyAlignment="1" applyBorder="1" applyFill="1" applyFont="1" applyNumberFormat="1">
      <alignment horizontal="center" readingOrder="0" shrinkToFit="0" vertical="center" wrapText="1"/>
    </xf>
    <xf borderId="1" fillId="10" fontId="5" numFmtId="0" xfId="0" applyAlignment="1" applyBorder="1" applyFill="1" applyFont="1">
      <alignment readingOrder="0"/>
    </xf>
    <xf borderId="16" fillId="0" fontId="1" numFmtId="0" xfId="0" applyAlignment="1" applyBorder="1" applyFon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9" fontId="1" numFmtId="1" xfId="0" applyAlignment="1" applyBorder="1" applyFill="1" applyFont="1" applyNumberFormat="1">
      <alignment horizontal="center" readingOrder="0" shrinkToFit="0" vertical="center" wrapText="1"/>
    </xf>
    <xf borderId="15" fillId="2" fontId="1" numFmtId="2" xfId="0" applyAlignment="1" applyBorder="1" applyFill="1" applyFont="1" applyNumberFormat="1">
      <alignment horizontal="center" readingOrder="0" shrinkToFit="0" vertical="center" wrapText="1"/>
    </xf>
    <xf borderId="17" fillId="0" fontId="5" numFmtId="1" xfId="0" applyAlignment="1" applyBorder="1" applyFont="1" applyNumberFormat="1">
      <alignment horizontal="center" readingOrder="0" shrinkToFit="0" vertical="center" wrapText="1"/>
    </xf>
    <xf borderId="15" fillId="9" fontId="5" numFmtId="2" xfId="0" applyAlignment="1" applyBorder="1" applyFill="1" applyFont="1" applyNumberFormat="1">
      <alignment horizontal="center" readingOrder="0" shrinkToFit="0" vertical="center" wrapText="1"/>
    </xf>
    <xf borderId="14" fillId="9" fontId="5" numFmtId="0" xfId="0" applyAlignment="1" applyBorder="1" applyFill="1" applyFont="1">
      <alignment horizontal="center" readingOrder="0"/>
    </xf>
    <xf borderId="18" fillId="0" fontId="3" numFmtId="0" xfId="0" applyBorder="1" applyFont="1"/>
    <xf borderId="0" fillId="11" fontId="5" numFmtId="0" xfId="0" applyAlignment="1" applyFill="1" applyFont="1">
      <alignment horizontal="center" readingOrder="0"/>
    </xf>
    <xf borderId="15" fillId="0" fontId="5" numFmtId="2" xfId="0" applyAlignment="1" applyBorder="1" applyFont="1" applyNumberFormat="1">
      <alignment horizontal="center" readingOrder="0" shrinkToFit="0" vertical="center" wrapText="1"/>
    </xf>
    <xf borderId="1" fillId="0" fontId="5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1" fillId="12" fontId="5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5" fillId="0" fontId="5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/>
    </xf>
    <xf borderId="20" fillId="0" fontId="1" numFmtId="2" xfId="0" applyAlignment="1" applyBorder="1" applyFont="1" applyNumberFormat="1">
      <alignment horizontal="center" readingOrder="0" shrinkToFit="0" vertical="center" wrapText="1"/>
    </xf>
    <xf borderId="4" fillId="0" fontId="1" numFmtId="1" xfId="0" applyAlignment="1" applyBorder="1" applyFont="1" applyNumberFormat="1">
      <alignment horizontal="center" readingOrder="0" shrinkToFit="0" vertical="center" wrapText="1"/>
    </xf>
    <xf borderId="20" fillId="0" fontId="1" numFmtId="1" xfId="0" applyAlignment="1" applyBorder="1" applyFont="1" applyNumberFormat="1">
      <alignment horizontal="center" readingOrder="0" shrinkToFit="0" vertical="center" wrapText="1"/>
    </xf>
    <xf borderId="4" fillId="2" fontId="1" numFmtId="1" xfId="0" applyAlignment="1" applyBorder="1" applyFill="1" applyFont="1" applyNumberFormat="1">
      <alignment horizontal="center" readingOrder="0" shrinkToFit="0" vertical="center" wrapText="1"/>
    </xf>
    <xf borderId="20" fillId="9" fontId="1" numFmtId="1" xfId="0" applyAlignment="1" applyBorder="1" applyFill="1" applyFont="1" applyNumberFormat="1">
      <alignment horizontal="center" readingOrder="0" shrinkToFit="0" vertical="center" wrapText="1"/>
    </xf>
    <xf borderId="4" fillId="9" fontId="5" numFmtId="1" xfId="0" applyAlignment="1" applyBorder="1" applyFill="1" applyFont="1" applyNumberFormat="1">
      <alignment horizontal="center" readingOrder="0" shrinkToFit="0" vertical="center" wrapText="1"/>
    </xf>
    <xf borderId="21" fillId="0" fontId="5" numFmtId="1" xfId="0" applyAlignment="1" applyBorder="1" applyFont="1" applyNumberForma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/>
    </xf>
    <xf borderId="14" fillId="9" fontId="5" numFmtId="0" xfId="0" applyAlignment="1" applyBorder="1" applyFill="1" applyFont="1">
      <alignment horizontal="center" readingOrder="0" shrinkToFit="0" wrapText="1"/>
    </xf>
    <xf borderId="22" fillId="0" fontId="5" numFmtId="0" xfId="0" applyAlignment="1" applyBorder="1" applyFont="1">
      <alignment readingOrder="0" shrinkToFit="0" wrapText="1"/>
    </xf>
    <xf borderId="1" fillId="13" fontId="5" numFmtId="0" xfId="0" applyAlignment="1" applyBorder="1" applyFill="1" applyFont="1">
      <alignment horizontal="left" readingOrder="0"/>
    </xf>
    <xf borderId="23" fillId="0" fontId="5" numFmtId="0" xfId="0" applyAlignment="1" applyBorder="1" applyFont="1">
      <alignment horizontal="center" readingOrder="0" shrinkToFit="0" wrapText="1"/>
    </xf>
    <xf borderId="2" fillId="13" fontId="5" numFmtId="0" xfId="0" applyAlignment="1" applyBorder="1" applyFill="1" applyFont="1">
      <alignment readingOrder="0"/>
    </xf>
    <xf borderId="24" fillId="0" fontId="3" numFmtId="0" xfId="0" applyBorder="1" applyFont="1"/>
    <xf borderId="2" fillId="13" fontId="1" numFmtId="0" xfId="0" applyAlignment="1" applyBorder="1" applyFill="1" applyFont="1">
      <alignment readingOrder="0"/>
    </xf>
    <xf borderId="2" fillId="13" fontId="1" numFmtId="0" xfId="0" applyAlignment="1" applyBorder="1" applyFill="1" applyFont="1">
      <alignment horizontal="center" readingOrder="0"/>
    </xf>
    <xf borderId="2" fillId="13" fontId="5" numFmtId="0" xfId="0" applyAlignment="1" applyBorder="1" applyFill="1" applyFont="1">
      <alignment horizontal="center" readingOrder="0" shrinkToFit="0" vertical="center" wrapText="1"/>
    </xf>
    <xf borderId="2" fillId="13" fontId="1" numFmtId="0" xfId="0" applyAlignment="1" applyBorder="1" applyFill="1" applyFont="1">
      <alignment horizontal="center" readingOrder="0" shrinkToFit="0" vertical="center" wrapText="1"/>
    </xf>
    <xf borderId="25" fillId="0" fontId="5" numFmtId="0" xfId="0" applyAlignment="1" applyBorder="1" applyFont="1">
      <alignment readingOrder="0" shrinkToFit="0" wrapText="1"/>
    </xf>
    <xf borderId="2" fillId="13" fontId="5" numFmtId="0" xfId="0" applyAlignment="1" applyBorder="1" applyFill="1" applyFont="1">
      <alignment horizontal="center" readingOrder="0"/>
    </xf>
    <xf borderId="25" fillId="0" fontId="1" numFmtId="0" xfId="0" applyAlignment="1" applyBorder="1" applyFont="1">
      <alignment horizontal="left" readingOrder="0" shrinkToFit="0" wrapText="1"/>
    </xf>
    <xf borderId="2" fillId="13" fontId="1" numFmtId="0" xfId="0" applyAlignment="1" applyBorder="1" applyFill="1" applyFont="1">
      <alignment horizontal="center" shrinkToFit="0" vertical="center" wrapText="1"/>
    </xf>
    <xf borderId="25" fillId="0" fontId="5" numFmtId="0" xfId="0" applyAlignment="1" applyBorder="1" applyFont="1">
      <alignment horizontal="left" readingOrder="0" shrinkToFit="0" wrapText="1"/>
    </xf>
    <xf borderId="25" fillId="0" fontId="1" numFmtId="0" xfId="0" applyAlignment="1" applyBorder="1" applyFont="1">
      <alignment horizontal="left" shrinkToFit="0" wrapText="1"/>
    </xf>
    <xf borderId="3" fillId="13" fontId="1" numFmtId="0" xfId="0" applyAlignment="1" applyBorder="1" applyFill="1" applyFont="1">
      <alignment horizontal="center" shrinkToFit="0" vertical="center" wrapText="1"/>
    </xf>
    <xf borderId="15" fillId="13" fontId="5" numFmtId="0" xfId="0" applyAlignment="1" applyBorder="1" applyFill="1" applyFont="1">
      <alignment horizontal="center" readingOrder="0"/>
    </xf>
    <xf borderId="15" fillId="13" fontId="1" numFmtId="2" xfId="0" applyAlignment="1" applyBorder="1" applyFill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15" fillId="13" fontId="1" numFmtId="0" xfId="0" applyAlignment="1" applyBorder="1" applyFill="1" applyFont="1">
      <alignment horizontal="center" readingOrder="0"/>
    </xf>
    <xf borderId="15" fillId="13" fontId="1" numFmtId="1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15" fillId="13" fontId="5" numFmtId="1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2" fillId="2" fontId="2" numFmtId="0" xfId="0" applyAlignment="1" applyBorder="1" applyFill="1" applyFont="1">
      <alignment horizontal="center" readingOrder="0" shrinkToFit="0" vertical="center" wrapText="0"/>
    </xf>
    <xf borderId="1" fillId="14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5" fillId="0" fontId="5" numFmtId="1" xfId="0" applyAlignment="1" applyBorder="1" applyFont="1" applyNumberFormat="1">
      <alignment horizontal="center" readingOrder="0" shrinkToFit="0" vertical="center" wrapText="1"/>
    </xf>
    <xf borderId="15" fillId="0" fontId="5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5" fillId="0" fontId="5" numFmtId="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shrinkToFit="0" vertical="center" wrapText="1"/>
    </xf>
    <xf borderId="1" fillId="15" fontId="5" numFmtId="0" xfId="0" applyAlignment="1" applyBorder="1" applyFill="1" applyFont="1">
      <alignment horizontal="center" readingOrder="0" shrinkToFit="0" vertical="center" wrapText="1"/>
    </xf>
    <xf borderId="1" fillId="15" fontId="7" numFmtId="0" xfId="0" applyAlignment="1" applyBorder="1" applyFill="1" applyFont="1">
      <alignment horizontal="center" readingOrder="0" shrinkToFit="0" vertical="center" wrapText="1"/>
    </xf>
    <xf borderId="1" fillId="15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13"/>
    <col customWidth="1" min="2" max="2" width="15.75"/>
    <col customWidth="1" min="3" max="3" width="18.63"/>
    <col customWidth="1" min="34" max="34" width="10.0"/>
    <col customWidth="1" min="35" max="35" width="10.25"/>
    <col customWidth="1" min="36" max="36" width="8.38"/>
    <col customWidth="1" min="37" max="37" width="5.63"/>
    <col customWidth="1" min="38" max="39" width="6.75"/>
    <col customWidth="1" min="40" max="40" width="14.38"/>
  </cols>
  <sheetData>
    <row r="2">
      <c r="A2" s="2" t="s">
        <v>0</v>
      </c>
      <c r="B2" s="2" t="s">
        <v>1</v>
      </c>
      <c r="C2" s="2" t="s">
        <v>2</v>
      </c>
      <c r="D2" s="4">
        <v>46113.0</v>
      </c>
      <c r="E2" s="6">
        <v>46114.0</v>
      </c>
      <c r="F2" s="4">
        <v>46115.0</v>
      </c>
      <c r="G2" s="6">
        <v>46116.0</v>
      </c>
      <c r="H2" s="4">
        <v>46117.0</v>
      </c>
      <c r="I2" s="6">
        <v>46118.0</v>
      </c>
      <c r="J2" s="4">
        <v>46119.0</v>
      </c>
      <c r="K2" s="6">
        <v>46120.0</v>
      </c>
      <c r="L2" s="4">
        <v>46121.0</v>
      </c>
      <c r="M2" s="6">
        <v>46122.0</v>
      </c>
      <c r="N2" s="4">
        <v>46123.0</v>
      </c>
      <c r="O2" s="6">
        <v>46124.0</v>
      </c>
      <c r="P2" s="4">
        <v>46125.0</v>
      </c>
      <c r="Q2" s="6">
        <v>46126.0</v>
      </c>
      <c r="R2" s="4">
        <v>46127.0</v>
      </c>
      <c r="S2" s="6">
        <v>46128.0</v>
      </c>
      <c r="T2" s="4">
        <v>46129.0</v>
      </c>
      <c r="U2" s="6">
        <v>46130.0</v>
      </c>
      <c r="V2" s="4">
        <v>46131.0</v>
      </c>
      <c r="W2" s="6">
        <v>46132.0</v>
      </c>
      <c r="X2" s="4">
        <v>46133.0</v>
      </c>
      <c r="Y2" s="6">
        <v>46134.0</v>
      </c>
      <c r="Z2" s="4">
        <v>46135.0</v>
      </c>
      <c r="AA2" s="6">
        <v>46136.0</v>
      </c>
      <c r="AB2" s="4">
        <v>46137.0</v>
      </c>
      <c r="AC2" s="6">
        <v>46138.0</v>
      </c>
      <c r="AD2" s="4">
        <v>46139.0</v>
      </c>
      <c r="AE2" s="6">
        <v>46140.0</v>
      </c>
      <c r="AF2" s="4">
        <v>46141.0</v>
      </c>
      <c r="AG2" s="6">
        <v>46142.0</v>
      </c>
      <c r="AH2" s="9" t="s">
        <v>3</v>
      </c>
      <c r="AI2" s="13" t="s">
        <v>4</v>
      </c>
      <c r="AJ2" s="15" t="s">
        <v>5</v>
      </c>
      <c r="AK2" s="17" t="s">
        <v>8</v>
      </c>
      <c r="AL2" s="20" t="s">
        <v>7</v>
      </c>
      <c r="AM2" s="3" t="s">
        <v>9</v>
      </c>
      <c r="AN2" s="23" t="s">
        <v>10</v>
      </c>
    </row>
    <row r="3">
      <c r="A3" s="24"/>
      <c r="B3" s="24"/>
      <c r="C3" s="24"/>
      <c r="D3" s="25" t="s">
        <v>18</v>
      </c>
      <c r="E3" s="25" t="s">
        <v>19</v>
      </c>
      <c r="F3" s="25" t="s">
        <v>20</v>
      </c>
      <c r="G3" s="25" t="s">
        <v>21</v>
      </c>
      <c r="H3" s="27" t="s">
        <v>22</v>
      </c>
      <c r="I3" s="25" t="s">
        <v>24</v>
      </c>
      <c r="J3" s="25" t="s">
        <v>25</v>
      </c>
      <c r="K3" s="25" t="s">
        <v>18</v>
      </c>
      <c r="L3" s="25" t="s">
        <v>19</v>
      </c>
      <c r="M3" s="25" t="s">
        <v>20</v>
      </c>
      <c r="N3" s="25" t="s">
        <v>21</v>
      </c>
      <c r="O3" s="27" t="s">
        <v>22</v>
      </c>
      <c r="P3" s="25" t="s">
        <v>24</v>
      </c>
      <c r="Q3" s="25" t="s">
        <v>25</v>
      </c>
      <c r="R3" s="25" t="s">
        <v>18</v>
      </c>
      <c r="S3" s="25" t="s">
        <v>19</v>
      </c>
      <c r="T3" s="25" t="s">
        <v>20</v>
      </c>
      <c r="U3" s="25" t="s">
        <v>21</v>
      </c>
      <c r="V3" s="27" t="s">
        <v>22</v>
      </c>
      <c r="W3" s="25" t="s">
        <v>24</v>
      </c>
      <c r="X3" s="25" t="s">
        <v>25</v>
      </c>
      <c r="Y3" s="25" t="s">
        <v>18</v>
      </c>
      <c r="Z3" s="25" t="s">
        <v>19</v>
      </c>
      <c r="AA3" s="25" t="s">
        <v>20</v>
      </c>
      <c r="AB3" s="25" t="s">
        <v>21</v>
      </c>
      <c r="AC3" s="27" t="s">
        <v>22</v>
      </c>
      <c r="AD3" s="25" t="s">
        <v>24</v>
      </c>
      <c r="AE3" s="25" t="s">
        <v>25</v>
      </c>
      <c r="AF3" s="25" t="s">
        <v>18</v>
      </c>
      <c r="AG3" s="25" t="s">
        <v>19</v>
      </c>
      <c r="AH3" s="26"/>
      <c r="AI3" s="26"/>
      <c r="AJ3" s="26"/>
      <c r="AK3" s="26"/>
      <c r="AL3" s="26"/>
      <c r="AM3" s="26"/>
      <c r="AN3" s="26"/>
    </row>
    <row r="4">
      <c r="A4" s="34">
        <v>1.0</v>
      </c>
      <c r="B4" s="35" t="s">
        <v>32</v>
      </c>
      <c r="C4" s="36" t="s">
        <v>33</v>
      </c>
      <c r="D4" s="36" t="s">
        <v>34</v>
      </c>
      <c r="E4" s="36" t="s">
        <v>34</v>
      </c>
      <c r="F4" s="36" t="s">
        <v>34</v>
      </c>
      <c r="G4" s="36" t="s">
        <v>34</v>
      </c>
      <c r="H4" s="35" t="s">
        <v>35</v>
      </c>
      <c r="I4" s="36" t="s">
        <v>34</v>
      </c>
      <c r="J4" s="36" t="s">
        <v>34</v>
      </c>
      <c r="K4" s="36" t="s">
        <v>34</v>
      </c>
      <c r="L4" s="36" t="s">
        <v>34</v>
      </c>
      <c r="M4" s="36" t="s">
        <v>34</v>
      </c>
      <c r="N4" s="36" t="s">
        <v>34</v>
      </c>
      <c r="O4" s="35" t="s">
        <v>35</v>
      </c>
      <c r="P4" s="36" t="s">
        <v>34</v>
      </c>
      <c r="Q4" s="39" t="s">
        <v>6</v>
      </c>
      <c r="R4" s="36" t="s">
        <v>34</v>
      </c>
      <c r="S4" s="36" t="s">
        <v>34</v>
      </c>
      <c r="T4" s="36" t="s">
        <v>34</v>
      </c>
      <c r="U4" s="36" t="s">
        <v>34</v>
      </c>
      <c r="V4" s="35" t="s">
        <v>35</v>
      </c>
      <c r="W4" s="36" t="s">
        <v>34</v>
      </c>
      <c r="X4" s="36" t="s">
        <v>34</v>
      </c>
      <c r="Y4" s="36" t="s">
        <v>34</v>
      </c>
      <c r="Z4" s="36" t="s">
        <v>34</v>
      </c>
      <c r="AA4" s="36" t="s">
        <v>34</v>
      </c>
      <c r="AB4" s="36" t="s">
        <v>34</v>
      </c>
      <c r="AC4" s="35" t="s">
        <v>35</v>
      </c>
      <c r="AD4" s="36" t="s">
        <v>34</v>
      </c>
      <c r="AE4" s="36" t="s">
        <v>34</v>
      </c>
      <c r="AF4" s="36" t="s">
        <v>34</v>
      </c>
      <c r="AG4" s="36" t="s">
        <v>34</v>
      </c>
      <c r="AH4" s="45">
        <f t="shared" ref="AH4:AH9" si="1">COUNTIF(D4:AG4,"P")</f>
        <v>25</v>
      </c>
      <c r="AI4" s="45">
        <f t="shared" ref="AI4:AI9" si="2">COUNTIF(E4:AH4,"A")</f>
        <v>0</v>
      </c>
      <c r="AJ4" s="45">
        <f t="shared" ref="AJ4:AJ9" si="3">COUNTIF(D4:AG4,"H")</f>
        <v>4</v>
      </c>
      <c r="AK4" s="45">
        <f t="shared" ref="AK4:AK9" si="4">COUNTIF(D4:AG4,"CL")</f>
        <v>1</v>
      </c>
      <c r="AL4" s="45">
        <f t="shared" ref="AL4:AL9" si="5">COUNTIF(D4:AG4,"PL")</f>
        <v>0</v>
      </c>
      <c r="AM4" s="45">
        <f t="shared" ref="AM4:AM9" si="6">COUNTIF(D4:AG4,"LOP")</f>
        <v>0</v>
      </c>
      <c r="AN4" s="45">
        <f t="shared" ref="AN4:AN9" si="7">SUM(AH4,AJ4,AK4)</f>
        <v>30</v>
      </c>
    </row>
    <row r="5">
      <c r="A5" s="34">
        <v>2.0</v>
      </c>
      <c r="B5" s="35" t="s">
        <v>36</v>
      </c>
      <c r="C5" s="36" t="s">
        <v>33</v>
      </c>
      <c r="D5" s="36" t="s">
        <v>34</v>
      </c>
      <c r="E5" s="36" t="s">
        <v>34</v>
      </c>
      <c r="F5" s="36" t="s">
        <v>34</v>
      </c>
      <c r="G5" s="36" t="s">
        <v>34</v>
      </c>
      <c r="H5" s="35" t="s">
        <v>35</v>
      </c>
      <c r="I5" s="36" t="s">
        <v>34</v>
      </c>
      <c r="J5" s="36" t="s">
        <v>34</v>
      </c>
      <c r="K5" s="36" t="s">
        <v>34</v>
      </c>
      <c r="L5" s="36" t="s">
        <v>34</v>
      </c>
      <c r="M5" s="36" t="s">
        <v>34</v>
      </c>
      <c r="N5" s="36" t="s">
        <v>34</v>
      </c>
      <c r="O5" s="35" t="s">
        <v>35</v>
      </c>
      <c r="P5" s="36" t="s">
        <v>34</v>
      </c>
      <c r="Q5" s="36" t="s">
        <v>34</v>
      </c>
      <c r="R5" s="36" t="s">
        <v>34</v>
      </c>
      <c r="S5" s="36" t="s">
        <v>34</v>
      </c>
      <c r="T5" s="36" t="s">
        <v>34</v>
      </c>
      <c r="U5" s="36" t="s">
        <v>34</v>
      </c>
      <c r="V5" s="35" t="s">
        <v>35</v>
      </c>
      <c r="W5" s="36" t="s">
        <v>34</v>
      </c>
      <c r="X5" s="36" t="s">
        <v>34</v>
      </c>
      <c r="Y5" s="36" t="s">
        <v>34</v>
      </c>
      <c r="Z5" s="36" t="s">
        <v>34</v>
      </c>
      <c r="AA5" s="35" t="s">
        <v>6</v>
      </c>
      <c r="AB5" s="45"/>
      <c r="AC5" s="35" t="s">
        <v>35</v>
      </c>
      <c r="AD5" s="36" t="s">
        <v>34</v>
      </c>
      <c r="AE5" s="36" t="s">
        <v>34</v>
      </c>
      <c r="AF5" s="36" t="s">
        <v>34</v>
      </c>
      <c r="AG5" s="36" t="s">
        <v>34</v>
      </c>
      <c r="AH5" s="45">
        <f t="shared" si="1"/>
        <v>24</v>
      </c>
      <c r="AI5" s="45">
        <f t="shared" si="2"/>
        <v>0</v>
      </c>
      <c r="AJ5" s="45">
        <f t="shared" si="3"/>
        <v>4</v>
      </c>
      <c r="AK5" s="45">
        <f t="shared" si="4"/>
        <v>1</v>
      </c>
      <c r="AL5" s="45">
        <f t="shared" si="5"/>
        <v>0</v>
      </c>
      <c r="AM5" s="45">
        <f t="shared" si="6"/>
        <v>0</v>
      </c>
      <c r="AN5" s="45">
        <f t="shared" si="7"/>
        <v>29</v>
      </c>
    </row>
    <row r="6">
      <c r="A6" s="34">
        <v>3.0</v>
      </c>
      <c r="B6" s="35" t="s">
        <v>37</v>
      </c>
      <c r="C6" s="36" t="s">
        <v>38</v>
      </c>
      <c r="D6" s="36" t="s">
        <v>34</v>
      </c>
      <c r="E6" s="36" t="s">
        <v>34</v>
      </c>
      <c r="F6" s="36" t="s">
        <v>34</v>
      </c>
      <c r="G6" s="36" t="s">
        <v>34</v>
      </c>
      <c r="H6" s="35" t="s">
        <v>35</v>
      </c>
      <c r="I6" s="36" t="s">
        <v>34</v>
      </c>
      <c r="J6" s="36" t="s">
        <v>34</v>
      </c>
      <c r="K6" s="36" t="s">
        <v>34</v>
      </c>
      <c r="L6" s="36" t="s">
        <v>34</v>
      </c>
      <c r="M6" s="36" t="s">
        <v>34</v>
      </c>
      <c r="N6" s="36" t="s">
        <v>34</v>
      </c>
      <c r="O6" s="35" t="s">
        <v>35</v>
      </c>
      <c r="P6" s="36" t="s">
        <v>34</v>
      </c>
      <c r="Q6" s="36" t="s">
        <v>34</v>
      </c>
      <c r="R6" s="36" t="s">
        <v>34</v>
      </c>
      <c r="S6" s="36" t="s">
        <v>34</v>
      </c>
      <c r="T6" s="36" t="s">
        <v>34</v>
      </c>
      <c r="U6" s="36" t="s">
        <v>34</v>
      </c>
      <c r="V6" s="35" t="s">
        <v>35</v>
      </c>
      <c r="W6" s="36" t="s">
        <v>34</v>
      </c>
      <c r="X6" s="36" t="s">
        <v>34</v>
      </c>
      <c r="Y6" s="36" t="s">
        <v>34</v>
      </c>
      <c r="Z6" s="35" t="s">
        <v>6</v>
      </c>
      <c r="AA6" s="35" t="s">
        <v>6</v>
      </c>
      <c r="AB6" s="57" t="s">
        <v>9</v>
      </c>
      <c r="AC6" s="57" t="s">
        <v>9</v>
      </c>
      <c r="AD6" s="57" t="s">
        <v>9</v>
      </c>
      <c r="AE6" s="57" t="s">
        <v>9</v>
      </c>
      <c r="AF6" s="57" t="s">
        <v>9</v>
      </c>
      <c r="AG6" s="57" t="s">
        <v>9</v>
      </c>
      <c r="AH6" s="45">
        <f t="shared" si="1"/>
        <v>19</v>
      </c>
      <c r="AI6" s="45">
        <f t="shared" si="2"/>
        <v>0</v>
      </c>
      <c r="AJ6" s="45">
        <f t="shared" si="3"/>
        <v>3</v>
      </c>
      <c r="AK6" s="45">
        <f t="shared" si="4"/>
        <v>2</v>
      </c>
      <c r="AL6" s="45">
        <f t="shared" si="5"/>
        <v>0</v>
      </c>
      <c r="AM6" s="45">
        <f t="shared" si="6"/>
        <v>6</v>
      </c>
      <c r="AN6" s="45">
        <f t="shared" si="7"/>
        <v>24</v>
      </c>
    </row>
    <row r="7">
      <c r="A7" s="34">
        <v>4.0</v>
      </c>
      <c r="B7" s="35" t="s">
        <v>39</v>
      </c>
      <c r="C7" s="36" t="s">
        <v>40</v>
      </c>
      <c r="D7" s="36" t="s">
        <v>34</v>
      </c>
      <c r="E7" s="36" t="s">
        <v>34</v>
      </c>
      <c r="F7" s="36" t="s">
        <v>34</v>
      </c>
      <c r="G7" s="36" t="s">
        <v>34</v>
      </c>
      <c r="H7" s="35" t="s">
        <v>35</v>
      </c>
      <c r="I7" s="36" t="s">
        <v>34</v>
      </c>
      <c r="J7" s="36" t="s">
        <v>34</v>
      </c>
      <c r="K7" s="36" t="s">
        <v>34</v>
      </c>
      <c r="L7" s="36" t="s">
        <v>34</v>
      </c>
      <c r="M7" s="36" t="s">
        <v>34</v>
      </c>
      <c r="N7" s="36" t="s">
        <v>34</v>
      </c>
      <c r="O7" s="35" t="s">
        <v>35</v>
      </c>
      <c r="P7" s="36" t="s">
        <v>34</v>
      </c>
      <c r="Q7" s="36" t="s">
        <v>34</v>
      </c>
      <c r="R7" s="36" t="s">
        <v>34</v>
      </c>
      <c r="S7" s="36" t="s">
        <v>34</v>
      </c>
      <c r="T7" s="36" t="s">
        <v>34</v>
      </c>
      <c r="U7" s="36" t="s">
        <v>34</v>
      </c>
      <c r="V7" s="35" t="s">
        <v>35</v>
      </c>
      <c r="W7" s="36" t="s">
        <v>34</v>
      </c>
      <c r="X7" s="36" t="s">
        <v>34</v>
      </c>
      <c r="Y7" s="36" t="s">
        <v>34</v>
      </c>
      <c r="Z7" s="36" t="s">
        <v>34</v>
      </c>
      <c r="AA7" s="36" t="s">
        <v>34</v>
      </c>
      <c r="AB7" s="36" t="s">
        <v>34</v>
      </c>
      <c r="AC7" s="35" t="s">
        <v>35</v>
      </c>
      <c r="AD7" s="36" t="s">
        <v>34</v>
      </c>
      <c r="AE7" s="36" t="s">
        <v>34</v>
      </c>
      <c r="AF7" s="36" t="s">
        <v>34</v>
      </c>
      <c r="AG7" s="36" t="s">
        <v>34</v>
      </c>
      <c r="AH7" s="45">
        <f t="shared" si="1"/>
        <v>26</v>
      </c>
      <c r="AI7" s="45">
        <f t="shared" si="2"/>
        <v>0</v>
      </c>
      <c r="AJ7" s="45">
        <f t="shared" si="3"/>
        <v>4</v>
      </c>
      <c r="AK7" s="45">
        <f t="shared" si="4"/>
        <v>0</v>
      </c>
      <c r="AL7" s="45">
        <f t="shared" si="5"/>
        <v>0</v>
      </c>
      <c r="AM7" s="45">
        <f t="shared" si="6"/>
        <v>0</v>
      </c>
      <c r="AN7" s="45">
        <f t="shared" si="7"/>
        <v>30</v>
      </c>
    </row>
    <row r="8">
      <c r="A8" s="34">
        <v>5.0</v>
      </c>
      <c r="B8" s="35" t="s">
        <v>43</v>
      </c>
      <c r="C8" s="36" t="s">
        <v>44</v>
      </c>
      <c r="D8" s="36" t="s">
        <v>34</v>
      </c>
      <c r="E8" s="36" t="s">
        <v>34</v>
      </c>
      <c r="F8" s="36" t="s">
        <v>34</v>
      </c>
      <c r="G8" s="36" t="s">
        <v>34</v>
      </c>
      <c r="H8" s="35" t="s">
        <v>35</v>
      </c>
      <c r="I8" s="36" t="s">
        <v>34</v>
      </c>
      <c r="J8" s="36" t="s">
        <v>34</v>
      </c>
      <c r="K8" s="36" t="s">
        <v>34</v>
      </c>
      <c r="L8" s="36" t="s">
        <v>34</v>
      </c>
      <c r="M8" s="36" t="s">
        <v>34</v>
      </c>
      <c r="N8" s="36" t="s">
        <v>34</v>
      </c>
      <c r="O8" s="35" t="s">
        <v>35</v>
      </c>
      <c r="P8" s="45"/>
      <c r="Q8" s="45"/>
      <c r="R8" s="45"/>
      <c r="S8" s="45"/>
      <c r="T8" s="36" t="s">
        <v>34</v>
      </c>
      <c r="U8" s="36" t="s">
        <v>34</v>
      </c>
      <c r="V8" s="35" t="s">
        <v>35</v>
      </c>
      <c r="W8" s="36" t="s">
        <v>34</v>
      </c>
      <c r="X8" s="36" t="s">
        <v>34</v>
      </c>
      <c r="Y8" s="36" t="s">
        <v>34</v>
      </c>
      <c r="Z8" s="36" t="s">
        <v>34</v>
      </c>
      <c r="AA8" s="36" t="s">
        <v>34</v>
      </c>
      <c r="AB8" s="36" t="s">
        <v>34</v>
      </c>
      <c r="AC8" s="35" t="s">
        <v>35</v>
      </c>
      <c r="AD8" s="36" t="s">
        <v>34</v>
      </c>
      <c r="AE8" s="36" t="s">
        <v>34</v>
      </c>
      <c r="AF8" s="36" t="s">
        <v>34</v>
      </c>
      <c r="AG8" s="36" t="s">
        <v>34</v>
      </c>
      <c r="AH8" s="45">
        <f t="shared" si="1"/>
        <v>22</v>
      </c>
      <c r="AI8" s="45">
        <f t="shared" si="2"/>
        <v>0</v>
      </c>
      <c r="AJ8" s="45">
        <f t="shared" si="3"/>
        <v>4</v>
      </c>
      <c r="AK8" s="45">
        <f t="shared" si="4"/>
        <v>0</v>
      </c>
      <c r="AL8" s="45">
        <f t="shared" si="5"/>
        <v>0</v>
      </c>
      <c r="AM8" s="45">
        <f t="shared" si="6"/>
        <v>0</v>
      </c>
      <c r="AN8" s="45">
        <f t="shared" si="7"/>
        <v>26</v>
      </c>
    </row>
    <row r="9">
      <c r="A9" s="34">
        <v>6.0</v>
      </c>
      <c r="B9" s="35" t="s">
        <v>46</v>
      </c>
      <c r="C9" s="36" t="s">
        <v>44</v>
      </c>
      <c r="D9" s="36" t="s">
        <v>34</v>
      </c>
      <c r="E9" s="36" t="s">
        <v>34</v>
      </c>
      <c r="F9" s="36" t="s">
        <v>34</v>
      </c>
      <c r="G9" s="36" t="s">
        <v>34</v>
      </c>
      <c r="H9" s="35" t="s">
        <v>35</v>
      </c>
      <c r="I9" s="36" t="s">
        <v>34</v>
      </c>
      <c r="J9" s="36" t="s">
        <v>34</v>
      </c>
      <c r="K9" s="36" t="s">
        <v>34</v>
      </c>
      <c r="L9" s="36" t="s">
        <v>34</v>
      </c>
      <c r="M9" s="36" t="s">
        <v>34</v>
      </c>
      <c r="N9" s="36" t="s">
        <v>34</v>
      </c>
      <c r="O9" s="35" t="s">
        <v>35</v>
      </c>
      <c r="P9" s="45"/>
      <c r="Q9" s="45"/>
      <c r="R9" s="45"/>
      <c r="S9" s="45"/>
      <c r="T9" s="36" t="s">
        <v>34</v>
      </c>
      <c r="U9" s="36" t="s">
        <v>34</v>
      </c>
      <c r="V9" s="35" t="s">
        <v>35</v>
      </c>
      <c r="W9" s="36" t="s">
        <v>34</v>
      </c>
      <c r="X9" s="36" t="s">
        <v>34</v>
      </c>
      <c r="Y9" s="36" t="s">
        <v>34</v>
      </c>
      <c r="Z9" s="36" t="s">
        <v>34</v>
      </c>
      <c r="AA9" s="36" t="s">
        <v>34</v>
      </c>
      <c r="AB9" s="36" t="s">
        <v>34</v>
      </c>
      <c r="AC9" s="35" t="s">
        <v>35</v>
      </c>
      <c r="AD9" s="36" t="s">
        <v>34</v>
      </c>
      <c r="AE9" s="36" t="s">
        <v>34</v>
      </c>
      <c r="AF9" s="36" t="s">
        <v>34</v>
      </c>
      <c r="AG9" s="36" t="s">
        <v>34</v>
      </c>
      <c r="AH9" s="45">
        <f t="shared" si="1"/>
        <v>22</v>
      </c>
      <c r="AI9" s="45">
        <f t="shared" si="2"/>
        <v>0</v>
      </c>
      <c r="AJ9" s="45">
        <f t="shared" si="3"/>
        <v>4</v>
      </c>
      <c r="AK9" s="45">
        <f t="shared" si="4"/>
        <v>0</v>
      </c>
      <c r="AL9" s="45">
        <f t="shared" si="5"/>
        <v>0</v>
      </c>
      <c r="AM9" s="45">
        <f t="shared" si="6"/>
        <v>0</v>
      </c>
      <c r="AN9" s="45">
        <f t="shared" si="7"/>
        <v>26</v>
      </c>
    </row>
    <row r="12">
      <c r="A12" s="65" t="s">
        <v>49</v>
      </c>
      <c r="B12" s="66"/>
      <c r="C12" s="67" t="s">
        <v>50</v>
      </c>
    </row>
    <row r="13">
      <c r="A13" s="35" t="s">
        <v>52</v>
      </c>
      <c r="B13" s="36">
        <v>300000.0</v>
      </c>
      <c r="C13" s="35" t="s">
        <v>32</v>
      </c>
      <c r="D13" s="35">
        <v>24800.0</v>
      </c>
    </row>
    <row r="14">
      <c r="A14" s="35" t="s">
        <v>53</v>
      </c>
      <c r="B14" s="36">
        <f>B13/12</f>
        <v>25000</v>
      </c>
      <c r="C14" s="35" t="s">
        <v>36</v>
      </c>
      <c r="D14" s="35">
        <v>24800.0</v>
      </c>
    </row>
    <row r="15">
      <c r="A15" s="35" t="s">
        <v>54</v>
      </c>
      <c r="B15" s="36">
        <f>B14/30</f>
        <v>833.3333333</v>
      </c>
      <c r="C15" s="35" t="s">
        <v>37</v>
      </c>
      <c r="D15" s="35">
        <v>53133.33</v>
      </c>
    </row>
    <row r="16">
      <c r="A16" s="35" t="s">
        <v>56</v>
      </c>
      <c r="B16" s="36">
        <v>30.0</v>
      </c>
      <c r="C16" s="35" t="s">
        <v>39</v>
      </c>
      <c r="D16" s="35">
        <v>24800.0</v>
      </c>
    </row>
    <row r="17">
      <c r="A17" s="35" t="s">
        <v>58</v>
      </c>
      <c r="B17" s="45">
        <f>B15*B16</f>
        <v>25000</v>
      </c>
      <c r="C17" s="35" t="s">
        <v>43</v>
      </c>
      <c r="D17" s="45"/>
    </row>
    <row r="18">
      <c r="A18" s="35" t="s">
        <v>59</v>
      </c>
      <c r="B18" s="36">
        <v>200.0</v>
      </c>
      <c r="C18" s="35" t="s">
        <v>46</v>
      </c>
      <c r="D18" s="45"/>
    </row>
    <row r="19">
      <c r="A19" s="35" t="s">
        <v>60</v>
      </c>
      <c r="B19" s="69">
        <f>B17-B18</f>
        <v>24800</v>
      </c>
    </row>
    <row r="20">
      <c r="A20" s="71"/>
      <c r="B20" s="71"/>
    </row>
    <row r="21">
      <c r="A21" s="65" t="s">
        <v>49</v>
      </c>
      <c r="B21" s="66"/>
    </row>
    <row r="22">
      <c r="A22" s="35" t="s">
        <v>52</v>
      </c>
      <c r="B22" s="36">
        <v>800000.0</v>
      </c>
    </row>
    <row r="23">
      <c r="A23" s="35" t="s">
        <v>53</v>
      </c>
      <c r="B23" s="36">
        <f>B22/12</f>
        <v>66666.66667</v>
      </c>
    </row>
    <row r="24">
      <c r="A24" s="35" t="s">
        <v>54</v>
      </c>
      <c r="B24" s="36">
        <f>B23/30</f>
        <v>2222.222222</v>
      </c>
    </row>
    <row r="25">
      <c r="A25" s="35" t="s">
        <v>56</v>
      </c>
      <c r="B25" s="36">
        <v>24.0</v>
      </c>
    </row>
    <row r="26">
      <c r="A26" s="35" t="s">
        <v>58</v>
      </c>
      <c r="B26" s="45">
        <f>B24*B25</f>
        <v>53333.33333</v>
      </c>
    </row>
    <row r="27">
      <c r="A27" s="35" t="s">
        <v>59</v>
      </c>
      <c r="B27" s="36">
        <v>200.0</v>
      </c>
    </row>
    <row r="28">
      <c r="A28" s="35" t="s">
        <v>60</v>
      </c>
      <c r="B28" s="69">
        <f>B26-B27</f>
        <v>53133.33333</v>
      </c>
    </row>
  </sheetData>
  <mergeCells count="10">
    <mergeCell ref="A12:B12"/>
    <mergeCell ref="C12:D12"/>
    <mergeCell ref="A21:B21"/>
    <mergeCell ref="AH2:AH3"/>
    <mergeCell ref="AI2:AI3"/>
    <mergeCell ref="AJ2:AJ3"/>
    <mergeCell ref="AK2:AK3"/>
    <mergeCell ref="AL2:AL3"/>
    <mergeCell ref="AM2:AM3"/>
    <mergeCell ref="AN2:A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25"/>
    <col customWidth="1" min="2" max="2" width="13.13"/>
    <col customWidth="1" min="3" max="3" width="20.38"/>
    <col customWidth="1" min="4" max="4" width="11.63"/>
    <col customWidth="1" min="5" max="5" width="12.13"/>
    <col customWidth="1" min="6" max="6" width="11.75"/>
    <col customWidth="1" min="7" max="7" width="12.0"/>
    <col customWidth="1" min="8" max="8" width="12.13"/>
    <col customWidth="1" min="9" max="9" width="14.13"/>
    <col customWidth="1" min="10" max="10" width="9.88"/>
    <col customWidth="1" min="11" max="11" width="9.75"/>
    <col customWidth="1" min="12" max="13" width="10.5"/>
    <col customWidth="1" min="14" max="14" width="9.75"/>
    <col customWidth="1" min="35" max="35" width="8.13"/>
    <col customWidth="1" min="36" max="36" width="7.0"/>
    <col customWidth="1" min="37" max="37" width="7.88"/>
    <col customWidth="1" min="38" max="38" width="5.13"/>
    <col customWidth="1" min="39" max="39" width="5.25"/>
    <col customWidth="1" min="40" max="40" width="5.13"/>
    <col customWidth="1" min="41" max="41" width="10.63"/>
    <col customWidth="1" min="42" max="42" width="9.0"/>
    <col customWidth="1" min="43" max="43" width="9.63"/>
    <col customWidth="1" min="44" max="44" width="12.0"/>
    <col customWidth="1" min="45" max="45" width="8.0"/>
    <col customWidth="1" min="46" max="46" width="13.13"/>
    <col customWidth="1" min="47" max="47" width="1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7"/>
      <c r="AR1" s="7"/>
      <c r="AS1" s="7"/>
      <c r="AT1" s="7"/>
      <c r="AU1" s="7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7"/>
      <c r="AR2" s="7"/>
      <c r="AS2" s="7"/>
      <c r="AT2" s="7"/>
      <c r="AU2" s="7"/>
    </row>
    <row r="3" ht="21.0" customHeight="1">
      <c r="A3" s="11" t="s">
        <v>0</v>
      </c>
      <c r="B3" s="11" t="s">
        <v>1</v>
      </c>
      <c r="C3" s="11" t="s">
        <v>2</v>
      </c>
      <c r="D3" s="5">
        <v>46143.0</v>
      </c>
      <c r="E3" s="5">
        <v>46144.0</v>
      </c>
      <c r="F3" s="5">
        <v>46145.0</v>
      </c>
      <c r="G3" s="5">
        <v>46146.0</v>
      </c>
      <c r="H3" s="5">
        <v>46147.0</v>
      </c>
      <c r="I3" s="5">
        <v>46148.0</v>
      </c>
      <c r="J3" s="5">
        <v>46149.0</v>
      </c>
      <c r="K3" s="5">
        <v>46150.0</v>
      </c>
      <c r="L3" s="5">
        <v>46151.0</v>
      </c>
      <c r="M3" s="5">
        <v>46152.0</v>
      </c>
      <c r="N3" s="5">
        <v>46153.0</v>
      </c>
      <c r="O3" s="5">
        <v>46154.0</v>
      </c>
      <c r="P3" s="5">
        <v>46155.0</v>
      </c>
      <c r="Q3" s="5">
        <v>46156.0</v>
      </c>
      <c r="R3" s="5">
        <v>46157.0</v>
      </c>
      <c r="S3" s="5">
        <v>46158.0</v>
      </c>
      <c r="T3" s="5">
        <v>46159.0</v>
      </c>
      <c r="U3" s="5">
        <v>46160.0</v>
      </c>
      <c r="V3" s="5">
        <v>46161.0</v>
      </c>
      <c r="W3" s="5">
        <v>46162.0</v>
      </c>
      <c r="X3" s="5">
        <v>46163.0</v>
      </c>
      <c r="Y3" s="5">
        <v>46164.0</v>
      </c>
      <c r="Z3" s="5">
        <v>46165.0</v>
      </c>
      <c r="AA3" s="5">
        <v>46166.0</v>
      </c>
      <c r="AB3" s="5">
        <v>46167.0</v>
      </c>
      <c r="AC3" s="5">
        <v>46168.0</v>
      </c>
      <c r="AD3" s="5">
        <v>46169.0</v>
      </c>
      <c r="AE3" s="5">
        <v>46170.0</v>
      </c>
      <c r="AF3" s="5">
        <v>46171.0</v>
      </c>
      <c r="AG3" s="5">
        <v>46172.0</v>
      </c>
      <c r="AH3" s="5">
        <v>46173.0</v>
      </c>
      <c r="AI3" s="8" t="s">
        <v>3</v>
      </c>
      <c r="AJ3" s="10" t="s">
        <v>4</v>
      </c>
      <c r="AK3" s="12" t="s">
        <v>5</v>
      </c>
      <c r="AL3" s="14" t="s">
        <v>6</v>
      </c>
      <c r="AM3" s="16" t="s">
        <v>7</v>
      </c>
      <c r="AN3" s="18" t="s">
        <v>9</v>
      </c>
      <c r="AO3" s="19" t="s">
        <v>10</v>
      </c>
      <c r="AP3" s="30" t="s">
        <v>11</v>
      </c>
      <c r="AQ3" s="32" t="s">
        <v>13</v>
      </c>
      <c r="AR3" s="32" t="s">
        <v>14</v>
      </c>
      <c r="AS3" s="32" t="s">
        <v>15</v>
      </c>
      <c r="AT3" s="32" t="s">
        <v>16</v>
      </c>
      <c r="AU3" s="38" t="s">
        <v>17</v>
      </c>
    </row>
    <row r="4">
      <c r="A4" s="26"/>
      <c r="B4" s="26"/>
      <c r="C4" s="26"/>
      <c r="D4" s="28" t="s">
        <v>20</v>
      </c>
      <c r="E4" s="28" t="s">
        <v>21</v>
      </c>
      <c r="F4" s="42" t="s">
        <v>22</v>
      </c>
      <c r="G4" s="28" t="s">
        <v>24</v>
      </c>
      <c r="H4" s="28" t="s">
        <v>25</v>
      </c>
      <c r="I4" s="28" t="s">
        <v>18</v>
      </c>
      <c r="J4" s="28" t="s">
        <v>19</v>
      </c>
      <c r="K4" s="28" t="s">
        <v>20</v>
      </c>
      <c r="L4" s="28" t="s">
        <v>21</v>
      </c>
      <c r="M4" s="43" t="s">
        <v>22</v>
      </c>
      <c r="N4" s="28" t="s">
        <v>24</v>
      </c>
      <c r="O4" s="28" t="s">
        <v>25</v>
      </c>
      <c r="P4" s="28" t="s">
        <v>18</v>
      </c>
      <c r="Q4" s="28" t="s">
        <v>19</v>
      </c>
      <c r="R4" s="28" t="s">
        <v>20</v>
      </c>
      <c r="S4" s="28" t="s">
        <v>21</v>
      </c>
      <c r="T4" s="42" t="s">
        <v>22</v>
      </c>
      <c r="U4" s="28" t="s">
        <v>24</v>
      </c>
      <c r="V4" s="28" t="s">
        <v>25</v>
      </c>
      <c r="W4" s="28" t="s">
        <v>18</v>
      </c>
      <c r="X4" s="28" t="s">
        <v>19</v>
      </c>
      <c r="Y4" s="28" t="s">
        <v>20</v>
      </c>
      <c r="Z4" s="28" t="s">
        <v>21</v>
      </c>
      <c r="AA4" s="43" t="s">
        <v>22</v>
      </c>
      <c r="AB4" s="28" t="s">
        <v>24</v>
      </c>
      <c r="AC4" s="28" t="s">
        <v>25</v>
      </c>
      <c r="AD4" s="28" t="s">
        <v>18</v>
      </c>
      <c r="AE4" s="28" t="s">
        <v>19</v>
      </c>
      <c r="AF4" s="28" t="s">
        <v>20</v>
      </c>
      <c r="AG4" s="28" t="s">
        <v>21</v>
      </c>
      <c r="AH4" s="42" t="s">
        <v>22</v>
      </c>
      <c r="AI4" s="26"/>
      <c r="AJ4" s="26"/>
      <c r="AK4" s="26"/>
      <c r="AL4" s="26"/>
      <c r="AM4" s="26"/>
      <c r="AN4" s="26"/>
      <c r="AO4" s="33"/>
      <c r="AP4" s="46"/>
      <c r="AQ4" s="26"/>
      <c r="AR4" s="26"/>
      <c r="AS4" s="26"/>
      <c r="AT4" s="26"/>
      <c r="AU4" s="47"/>
    </row>
    <row r="5">
      <c r="A5" s="48">
        <v>1.0</v>
      </c>
      <c r="B5" s="50" t="s">
        <v>32</v>
      </c>
      <c r="C5" s="52" t="s">
        <v>33</v>
      </c>
      <c r="D5" s="40" t="s">
        <v>34</v>
      </c>
      <c r="E5" s="40" t="s">
        <v>34</v>
      </c>
      <c r="F5" s="41" t="s">
        <v>35</v>
      </c>
      <c r="G5" s="40" t="s">
        <v>34</v>
      </c>
      <c r="H5" s="40" t="s">
        <v>34</v>
      </c>
      <c r="I5" s="40" t="s">
        <v>34</v>
      </c>
      <c r="J5" s="40" t="s">
        <v>34</v>
      </c>
      <c r="K5" s="40" t="s">
        <v>6</v>
      </c>
      <c r="L5" s="40" t="s">
        <v>34</v>
      </c>
      <c r="M5" s="41" t="s">
        <v>35</v>
      </c>
      <c r="N5" s="40" t="s">
        <v>34</v>
      </c>
      <c r="O5" s="40" t="s">
        <v>34</v>
      </c>
      <c r="P5" s="40" t="s">
        <v>34</v>
      </c>
      <c r="Q5" s="40" t="s">
        <v>34</v>
      </c>
      <c r="R5" s="40" t="s">
        <v>34</v>
      </c>
      <c r="S5" s="40" t="s">
        <v>34</v>
      </c>
      <c r="T5" s="41" t="s">
        <v>35</v>
      </c>
      <c r="U5" s="40" t="s">
        <v>6</v>
      </c>
      <c r="V5" s="40" t="s">
        <v>34</v>
      </c>
      <c r="W5" s="40" t="s">
        <v>34</v>
      </c>
      <c r="X5" s="40" t="s">
        <v>34</v>
      </c>
      <c r="Y5" s="40" t="s">
        <v>34</v>
      </c>
      <c r="Z5" s="40" t="s">
        <v>34</v>
      </c>
      <c r="AA5" s="41" t="s">
        <v>35</v>
      </c>
      <c r="AB5" s="40" t="s">
        <v>34</v>
      </c>
      <c r="AC5" s="40" t="s">
        <v>34</v>
      </c>
      <c r="AD5" s="40" t="s">
        <v>34</v>
      </c>
      <c r="AE5" s="40" t="s">
        <v>34</v>
      </c>
      <c r="AF5" s="40" t="s">
        <v>34</v>
      </c>
      <c r="AG5" s="40" t="s">
        <v>34</v>
      </c>
      <c r="AH5" s="41" t="s">
        <v>35</v>
      </c>
      <c r="AI5" s="44">
        <f t="shared" ref="AI5:AI13" si="1">COUNTIF(D5:AH5,"P")</f>
        <v>24</v>
      </c>
      <c r="AJ5" s="44">
        <f t="shared" ref="AJ5:AJ13" si="2">COUNTIF(D5:AH5,"A")</f>
        <v>0</v>
      </c>
      <c r="AK5" s="44">
        <f t="shared" ref="AK5:AK13" si="3">COUNTIF(D5:AH5,"H")</f>
        <v>5</v>
      </c>
      <c r="AL5" s="44">
        <f t="shared" ref="AL5:AL13" si="4">COUNTIF(D5:AH5,"CL")</f>
        <v>2</v>
      </c>
      <c r="AM5" s="44">
        <f t="shared" ref="AM5:AM13" si="5">COUNTIF(D5:AG5,"PL")</f>
        <v>0</v>
      </c>
      <c r="AN5" s="44">
        <f t="shared" ref="AN5:AN13" si="6">COUNTIF(D5:AH5,"LOP")</f>
        <v>0</v>
      </c>
      <c r="AO5" s="49">
        <f t="shared" ref="AO5:AO13" si="7">SUM(AI5,AK5,AL5,AM5)</f>
        <v>31</v>
      </c>
      <c r="AP5" s="58">
        <v>25000.0</v>
      </c>
      <c r="AQ5" s="59">
        <f t="shared" ref="AQ5:AQ13" si="8">AP5/31*AO5</f>
        <v>25000</v>
      </c>
      <c r="AR5" s="60">
        <v>200.0</v>
      </c>
      <c r="AS5" s="61">
        <f t="shared" ref="AS5:AS13" si="9">AQ5-AR5</f>
        <v>24800</v>
      </c>
      <c r="AT5" s="60">
        <v>0.0</v>
      </c>
      <c r="AU5" s="63">
        <f t="shared" ref="AU5:AU13" si="10">AS5+AT5</f>
        <v>24800</v>
      </c>
    </row>
    <row r="6">
      <c r="A6" s="48">
        <v>2.0</v>
      </c>
      <c r="B6" s="50" t="s">
        <v>36</v>
      </c>
      <c r="C6" s="52" t="s">
        <v>33</v>
      </c>
      <c r="D6" s="40" t="s">
        <v>34</v>
      </c>
      <c r="E6" s="40" t="s">
        <v>34</v>
      </c>
      <c r="F6" s="41" t="s">
        <v>35</v>
      </c>
      <c r="G6" s="40" t="s">
        <v>34</v>
      </c>
      <c r="H6" s="40" t="s">
        <v>34</v>
      </c>
      <c r="I6" s="40" t="s">
        <v>34</v>
      </c>
      <c r="J6" s="40" t="s">
        <v>34</v>
      </c>
      <c r="K6" s="40" t="s">
        <v>34</v>
      </c>
      <c r="L6" s="40" t="s">
        <v>34</v>
      </c>
      <c r="M6" s="41" t="s">
        <v>35</v>
      </c>
      <c r="N6" s="40" t="s">
        <v>34</v>
      </c>
      <c r="O6" s="40" t="s">
        <v>34</v>
      </c>
      <c r="P6" s="40" t="s">
        <v>34</v>
      </c>
      <c r="Q6" s="40" t="s">
        <v>34</v>
      </c>
      <c r="R6" s="40" t="s">
        <v>34</v>
      </c>
      <c r="S6" s="40" t="s">
        <v>34</v>
      </c>
      <c r="T6" s="41" t="s">
        <v>35</v>
      </c>
      <c r="U6" s="40" t="s">
        <v>34</v>
      </c>
      <c r="V6" s="40" t="s">
        <v>34</v>
      </c>
      <c r="W6" s="40" t="s">
        <v>34</v>
      </c>
      <c r="X6" s="41" t="s">
        <v>7</v>
      </c>
      <c r="Y6" s="40" t="s">
        <v>34</v>
      </c>
      <c r="Z6" s="40" t="s">
        <v>34</v>
      </c>
      <c r="AA6" s="41" t="s">
        <v>35</v>
      </c>
      <c r="AB6" s="40" t="s">
        <v>6</v>
      </c>
      <c r="AC6" s="40" t="s">
        <v>34</v>
      </c>
      <c r="AD6" s="40" t="s">
        <v>34</v>
      </c>
      <c r="AE6" s="40" t="s">
        <v>34</v>
      </c>
      <c r="AF6" s="40" t="s">
        <v>34</v>
      </c>
      <c r="AG6" s="40" t="s">
        <v>34</v>
      </c>
      <c r="AH6" s="41" t="s">
        <v>35</v>
      </c>
      <c r="AI6" s="44">
        <f t="shared" si="1"/>
        <v>24</v>
      </c>
      <c r="AJ6" s="44">
        <f t="shared" si="2"/>
        <v>0</v>
      </c>
      <c r="AK6" s="44">
        <f t="shared" si="3"/>
        <v>5</v>
      </c>
      <c r="AL6" s="44">
        <f t="shared" si="4"/>
        <v>1</v>
      </c>
      <c r="AM6" s="44">
        <f t="shared" si="5"/>
        <v>1</v>
      </c>
      <c r="AN6" s="44">
        <f t="shared" si="6"/>
        <v>0</v>
      </c>
      <c r="AO6" s="49">
        <f t="shared" si="7"/>
        <v>31</v>
      </c>
      <c r="AP6" s="58">
        <v>25000.0</v>
      </c>
      <c r="AQ6" s="59">
        <f t="shared" si="8"/>
        <v>25000</v>
      </c>
      <c r="AR6" s="60">
        <v>200.0</v>
      </c>
      <c r="AS6" s="61">
        <f t="shared" si="9"/>
        <v>24800</v>
      </c>
      <c r="AT6" s="60">
        <v>210.0</v>
      </c>
      <c r="AU6" s="63">
        <f t="shared" si="10"/>
        <v>25010</v>
      </c>
    </row>
    <row r="7">
      <c r="A7" s="48">
        <v>3.0</v>
      </c>
      <c r="B7" s="50" t="s">
        <v>37</v>
      </c>
      <c r="C7" s="52" t="s">
        <v>38</v>
      </c>
      <c r="D7" s="41" t="s">
        <v>9</v>
      </c>
      <c r="E7" s="41" t="s">
        <v>9</v>
      </c>
      <c r="F7" s="41" t="s">
        <v>9</v>
      </c>
      <c r="G7" s="40" t="s">
        <v>34</v>
      </c>
      <c r="H7" s="40" t="s">
        <v>34</v>
      </c>
      <c r="I7" s="40" t="s">
        <v>34</v>
      </c>
      <c r="J7" s="40" t="s">
        <v>34</v>
      </c>
      <c r="K7" s="40" t="s">
        <v>34</v>
      </c>
      <c r="L7" s="40" t="s">
        <v>34</v>
      </c>
      <c r="M7" s="41" t="s">
        <v>35</v>
      </c>
      <c r="N7" s="40" t="s">
        <v>34</v>
      </c>
      <c r="O7" s="40" t="s">
        <v>34</v>
      </c>
      <c r="P7" s="40" t="s">
        <v>34</v>
      </c>
      <c r="Q7" s="40" t="s">
        <v>34</v>
      </c>
      <c r="R7" s="40" t="s">
        <v>34</v>
      </c>
      <c r="S7" s="40" t="s">
        <v>34</v>
      </c>
      <c r="T7" s="41" t="s">
        <v>35</v>
      </c>
      <c r="U7" s="40" t="s">
        <v>34</v>
      </c>
      <c r="V7" s="40" t="s">
        <v>34</v>
      </c>
      <c r="W7" s="40" t="s">
        <v>34</v>
      </c>
      <c r="X7" s="40" t="s">
        <v>34</v>
      </c>
      <c r="Y7" s="40" t="s">
        <v>34</v>
      </c>
      <c r="Z7" s="40" t="s">
        <v>34</v>
      </c>
      <c r="AA7" s="41" t="s">
        <v>35</v>
      </c>
      <c r="AB7" s="40" t="s">
        <v>34</v>
      </c>
      <c r="AC7" s="40" t="s">
        <v>34</v>
      </c>
      <c r="AD7" s="40" t="s">
        <v>34</v>
      </c>
      <c r="AE7" s="40" t="s">
        <v>34</v>
      </c>
      <c r="AF7" s="40" t="s">
        <v>34</v>
      </c>
      <c r="AG7" s="40" t="s">
        <v>34</v>
      </c>
      <c r="AH7" s="41" t="s">
        <v>35</v>
      </c>
      <c r="AI7" s="44">
        <f t="shared" si="1"/>
        <v>24</v>
      </c>
      <c r="AJ7" s="44">
        <f t="shared" si="2"/>
        <v>0</v>
      </c>
      <c r="AK7" s="44">
        <f t="shared" si="3"/>
        <v>4</v>
      </c>
      <c r="AL7" s="44">
        <f t="shared" si="4"/>
        <v>0</v>
      </c>
      <c r="AM7" s="44">
        <f t="shared" si="5"/>
        <v>0</v>
      </c>
      <c r="AN7" s="44">
        <f t="shared" si="6"/>
        <v>3</v>
      </c>
      <c r="AO7" s="49">
        <f t="shared" si="7"/>
        <v>28</v>
      </c>
      <c r="AP7" s="58">
        <v>66666.0</v>
      </c>
      <c r="AQ7" s="59">
        <f t="shared" si="8"/>
        <v>60214.45161</v>
      </c>
      <c r="AR7" s="60">
        <v>400.0</v>
      </c>
      <c r="AS7" s="61">
        <f t="shared" si="9"/>
        <v>59814.45161</v>
      </c>
      <c r="AT7" s="60">
        <v>0.0</v>
      </c>
      <c r="AU7" s="63">
        <f t="shared" si="10"/>
        <v>59814.45161</v>
      </c>
    </row>
    <row r="8">
      <c r="A8" s="48">
        <v>4.0</v>
      </c>
      <c r="B8" s="50" t="s">
        <v>41</v>
      </c>
      <c r="C8" s="52" t="s">
        <v>42</v>
      </c>
      <c r="D8" s="41" t="s">
        <v>61</v>
      </c>
      <c r="E8" s="41" t="s">
        <v>61</v>
      </c>
      <c r="F8" s="41" t="s">
        <v>61</v>
      </c>
      <c r="G8" s="40" t="s">
        <v>34</v>
      </c>
      <c r="H8" s="40" t="s">
        <v>34</v>
      </c>
      <c r="I8" s="40" t="s">
        <v>34</v>
      </c>
      <c r="J8" s="40" t="s">
        <v>34</v>
      </c>
      <c r="K8" s="40" t="s">
        <v>34</v>
      </c>
      <c r="L8" s="40" t="s">
        <v>34</v>
      </c>
      <c r="M8" s="41" t="s">
        <v>35</v>
      </c>
      <c r="N8" s="40" t="s">
        <v>34</v>
      </c>
      <c r="O8" s="40" t="s">
        <v>34</v>
      </c>
      <c r="P8" s="40" t="s">
        <v>34</v>
      </c>
      <c r="Q8" s="40" t="s">
        <v>34</v>
      </c>
      <c r="R8" s="40" t="s">
        <v>34</v>
      </c>
      <c r="S8" s="40" t="s">
        <v>34</v>
      </c>
      <c r="T8" s="41" t="s">
        <v>35</v>
      </c>
      <c r="U8" s="40" t="s">
        <v>34</v>
      </c>
      <c r="V8" s="40" t="s">
        <v>34</v>
      </c>
      <c r="W8" s="40" t="s">
        <v>34</v>
      </c>
      <c r="X8" s="40" t="s">
        <v>34</v>
      </c>
      <c r="Y8" s="40" t="s">
        <v>34</v>
      </c>
      <c r="Z8" s="40" t="s">
        <v>34</v>
      </c>
      <c r="AA8" s="41" t="s">
        <v>35</v>
      </c>
      <c r="AB8" s="40" t="s">
        <v>34</v>
      </c>
      <c r="AC8" s="40" t="s">
        <v>34</v>
      </c>
      <c r="AD8" s="40" t="s">
        <v>34</v>
      </c>
      <c r="AE8" s="40" t="s">
        <v>34</v>
      </c>
      <c r="AF8" s="40" t="s">
        <v>34</v>
      </c>
      <c r="AG8" s="40" t="s">
        <v>34</v>
      </c>
      <c r="AH8" s="41" t="s">
        <v>35</v>
      </c>
      <c r="AI8" s="44">
        <f t="shared" si="1"/>
        <v>24</v>
      </c>
      <c r="AJ8" s="44">
        <f t="shared" si="2"/>
        <v>3</v>
      </c>
      <c r="AK8" s="44">
        <f t="shared" si="3"/>
        <v>4</v>
      </c>
      <c r="AL8" s="44">
        <f t="shared" si="4"/>
        <v>0</v>
      </c>
      <c r="AM8" s="44">
        <f t="shared" si="5"/>
        <v>0</v>
      </c>
      <c r="AN8" s="44">
        <f t="shared" si="6"/>
        <v>0</v>
      </c>
      <c r="AO8" s="49">
        <f t="shared" si="7"/>
        <v>28</v>
      </c>
      <c r="AP8" s="58">
        <v>5000.0</v>
      </c>
      <c r="AQ8" s="59">
        <f t="shared" si="8"/>
        <v>4516.129032</v>
      </c>
      <c r="AR8" s="60">
        <v>0.0</v>
      </c>
      <c r="AS8" s="61">
        <f t="shared" si="9"/>
        <v>4516.129032</v>
      </c>
      <c r="AT8" s="60">
        <v>0.0</v>
      </c>
      <c r="AU8" s="63">
        <f t="shared" si="10"/>
        <v>4516.129032</v>
      </c>
    </row>
    <row r="9">
      <c r="A9" s="48">
        <v>5.0</v>
      </c>
      <c r="B9" s="50" t="s">
        <v>45</v>
      </c>
      <c r="C9" s="52" t="s">
        <v>40</v>
      </c>
      <c r="D9" s="40" t="s">
        <v>34</v>
      </c>
      <c r="E9" s="40" t="s">
        <v>34</v>
      </c>
      <c r="F9" s="41" t="s">
        <v>35</v>
      </c>
      <c r="G9" s="40" t="s">
        <v>34</v>
      </c>
      <c r="H9" s="40" t="s">
        <v>34</v>
      </c>
      <c r="I9" s="40" t="s">
        <v>34</v>
      </c>
      <c r="J9" s="40" t="s">
        <v>34</v>
      </c>
      <c r="K9" s="40" t="s">
        <v>34</v>
      </c>
      <c r="L9" s="40" t="s">
        <v>34</v>
      </c>
      <c r="M9" s="41" t="s">
        <v>35</v>
      </c>
      <c r="N9" s="40" t="s">
        <v>34</v>
      </c>
      <c r="O9" s="40" t="s">
        <v>34</v>
      </c>
      <c r="P9" s="40" t="s">
        <v>34</v>
      </c>
      <c r="Q9" s="41" t="s">
        <v>7</v>
      </c>
      <c r="R9" s="40" t="s">
        <v>34</v>
      </c>
      <c r="S9" s="40" t="s">
        <v>34</v>
      </c>
      <c r="T9" s="41" t="s">
        <v>35</v>
      </c>
      <c r="U9" s="40" t="s">
        <v>34</v>
      </c>
      <c r="V9" s="40" t="s">
        <v>34</v>
      </c>
      <c r="W9" s="40" t="s">
        <v>34</v>
      </c>
      <c r="X9" s="40" t="s">
        <v>34</v>
      </c>
      <c r="Y9" s="40" t="s">
        <v>34</v>
      </c>
      <c r="Z9" s="40" t="s">
        <v>34</v>
      </c>
      <c r="AA9" s="41" t="s">
        <v>35</v>
      </c>
      <c r="AB9" s="40" t="s">
        <v>34</v>
      </c>
      <c r="AC9" s="40" t="s">
        <v>34</v>
      </c>
      <c r="AD9" s="40" t="s">
        <v>34</v>
      </c>
      <c r="AE9" s="40" t="s">
        <v>34</v>
      </c>
      <c r="AF9" s="40" t="s">
        <v>34</v>
      </c>
      <c r="AG9" s="40" t="s">
        <v>6</v>
      </c>
      <c r="AH9" s="41" t="s">
        <v>35</v>
      </c>
      <c r="AI9" s="44">
        <f t="shared" si="1"/>
        <v>24</v>
      </c>
      <c r="AJ9" s="44">
        <f t="shared" si="2"/>
        <v>0</v>
      </c>
      <c r="AK9" s="44">
        <f t="shared" si="3"/>
        <v>5</v>
      </c>
      <c r="AL9" s="44">
        <f t="shared" si="4"/>
        <v>1</v>
      </c>
      <c r="AM9" s="44">
        <f t="shared" si="5"/>
        <v>1</v>
      </c>
      <c r="AN9" s="44">
        <f t="shared" si="6"/>
        <v>0</v>
      </c>
      <c r="AO9" s="49">
        <f t="shared" si="7"/>
        <v>31</v>
      </c>
      <c r="AP9" s="58">
        <v>25000.0</v>
      </c>
      <c r="AQ9" s="59">
        <f t="shared" si="8"/>
        <v>25000</v>
      </c>
      <c r="AR9" s="60">
        <v>200.0</v>
      </c>
      <c r="AS9" s="61">
        <f t="shared" si="9"/>
        <v>24800</v>
      </c>
      <c r="AT9" s="60">
        <v>180.0</v>
      </c>
      <c r="AU9" s="63">
        <f t="shared" si="10"/>
        <v>24980</v>
      </c>
    </row>
    <row r="10">
      <c r="A10" s="48">
        <v>6.0</v>
      </c>
      <c r="B10" s="50" t="s">
        <v>47</v>
      </c>
      <c r="C10" s="52" t="s">
        <v>48</v>
      </c>
      <c r="D10" s="40" t="s">
        <v>61</v>
      </c>
      <c r="E10" s="40" t="s">
        <v>61</v>
      </c>
      <c r="F10" s="41" t="s">
        <v>61</v>
      </c>
      <c r="G10" s="40" t="s">
        <v>61</v>
      </c>
      <c r="H10" s="40" t="s">
        <v>61</v>
      </c>
      <c r="I10" s="40" t="s">
        <v>61</v>
      </c>
      <c r="J10" s="40" t="s">
        <v>61</v>
      </c>
      <c r="K10" s="40" t="s">
        <v>61</v>
      </c>
      <c r="L10" s="40" t="s">
        <v>61</v>
      </c>
      <c r="M10" s="41" t="s">
        <v>61</v>
      </c>
      <c r="N10" s="40" t="s">
        <v>61</v>
      </c>
      <c r="O10" s="40" t="s">
        <v>61</v>
      </c>
      <c r="P10" s="40" t="s">
        <v>61</v>
      </c>
      <c r="Q10" s="40" t="s">
        <v>61</v>
      </c>
      <c r="R10" s="40" t="s">
        <v>61</v>
      </c>
      <c r="S10" s="40" t="s">
        <v>61</v>
      </c>
      <c r="T10" s="41" t="s">
        <v>61</v>
      </c>
      <c r="U10" s="40" t="s">
        <v>34</v>
      </c>
      <c r="V10" s="40" t="s">
        <v>34</v>
      </c>
      <c r="W10" s="40" t="s">
        <v>34</v>
      </c>
      <c r="X10" s="40" t="s">
        <v>34</v>
      </c>
      <c r="Y10" s="40" t="s">
        <v>34</v>
      </c>
      <c r="Z10" s="40" t="s">
        <v>34</v>
      </c>
      <c r="AA10" s="41" t="s">
        <v>35</v>
      </c>
      <c r="AB10" s="40" t="s">
        <v>34</v>
      </c>
      <c r="AC10" s="40" t="s">
        <v>34</v>
      </c>
      <c r="AD10" s="40" t="s">
        <v>34</v>
      </c>
      <c r="AE10" s="40" t="s">
        <v>34</v>
      </c>
      <c r="AF10" s="40" t="s">
        <v>34</v>
      </c>
      <c r="AG10" s="40" t="s">
        <v>34</v>
      </c>
      <c r="AH10" s="41" t="s">
        <v>35</v>
      </c>
      <c r="AI10" s="44">
        <f t="shared" si="1"/>
        <v>12</v>
      </c>
      <c r="AJ10" s="44">
        <f t="shared" si="2"/>
        <v>17</v>
      </c>
      <c r="AK10" s="44">
        <f t="shared" si="3"/>
        <v>2</v>
      </c>
      <c r="AL10" s="44">
        <f t="shared" si="4"/>
        <v>0</v>
      </c>
      <c r="AM10" s="44">
        <f t="shared" si="5"/>
        <v>0</v>
      </c>
      <c r="AN10" s="44">
        <f t="shared" si="6"/>
        <v>0</v>
      </c>
      <c r="AO10" s="49">
        <f t="shared" si="7"/>
        <v>14</v>
      </c>
      <c r="AP10" s="58">
        <v>50000.0</v>
      </c>
      <c r="AQ10" s="59">
        <f t="shared" si="8"/>
        <v>22580.64516</v>
      </c>
      <c r="AR10" s="60">
        <v>200.0</v>
      </c>
      <c r="AS10" s="61">
        <f t="shared" si="9"/>
        <v>22380.64516</v>
      </c>
      <c r="AT10" s="60">
        <v>0.0</v>
      </c>
      <c r="AU10" s="63">
        <f t="shared" si="10"/>
        <v>22380.64516</v>
      </c>
    </row>
    <row r="11">
      <c r="A11" s="48">
        <v>7.0</v>
      </c>
      <c r="B11" s="50" t="s">
        <v>51</v>
      </c>
      <c r="C11" s="52" t="s">
        <v>48</v>
      </c>
      <c r="D11" s="40" t="s">
        <v>61</v>
      </c>
      <c r="E11" s="40" t="s">
        <v>61</v>
      </c>
      <c r="F11" s="41" t="s">
        <v>61</v>
      </c>
      <c r="G11" s="40" t="s">
        <v>61</v>
      </c>
      <c r="H11" s="40" t="s">
        <v>61</v>
      </c>
      <c r="I11" s="40" t="s">
        <v>61</v>
      </c>
      <c r="J11" s="40" t="s">
        <v>61</v>
      </c>
      <c r="K11" s="40" t="s">
        <v>61</v>
      </c>
      <c r="L11" s="40" t="s">
        <v>61</v>
      </c>
      <c r="M11" s="41" t="s">
        <v>61</v>
      </c>
      <c r="N11" s="40" t="s">
        <v>61</v>
      </c>
      <c r="O11" s="40" t="s">
        <v>61</v>
      </c>
      <c r="P11" s="40" t="s">
        <v>61</v>
      </c>
      <c r="Q11" s="40" t="s">
        <v>61</v>
      </c>
      <c r="R11" s="40" t="s">
        <v>61</v>
      </c>
      <c r="S11" s="40" t="s">
        <v>61</v>
      </c>
      <c r="T11" s="41" t="s">
        <v>61</v>
      </c>
      <c r="U11" s="40" t="s">
        <v>34</v>
      </c>
      <c r="V11" s="40" t="s">
        <v>34</v>
      </c>
      <c r="W11" s="40" t="s">
        <v>34</v>
      </c>
      <c r="X11" s="40" t="s">
        <v>34</v>
      </c>
      <c r="Y11" s="40" t="s">
        <v>34</v>
      </c>
      <c r="Z11" s="40" t="s">
        <v>34</v>
      </c>
      <c r="AA11" s="41" t="s">
        <v>35</v>
      </c>
      <c r="AB11" s="40" t="s">
        <v>34</v>
      </c>
      <c r="AC11" s="40" t="s">
        <v>34</v>
      </c>
      <c r="AD11" s="40" t="s">
        <v>34</v>
      </c>
      <c r="AE11" s="40" t="s">
        <v>34</v>
      </c>
      <c r="AF11" s="40" t="s">
        <v>34</v>
      </c>
      <c r="AG11" s="40" t="s">
        <v>34</v>
      </c>
      <c r="AH11" s="41" t="s">
        <v>35</v>
      </c>
      <c r="AI11" s="44">
        <f t="shared" si="1"/>
        <v>12</v>
      </c>
      <c r="AJ11" s="44">
        <f t="shared" si="2"/>
        <v>17</v>
      </c>
      <c r="AK11" s="44">
        <f t="shared" si="3"/>
        <v>2</v>
      </c>
      <c r="AL11" s="44">
        <f t="shared" si="4"/>
        <v>0</v>
      </c>
      <c r="AM11" s="44">
        <f t="shared" si="5"/>
        <v>0</v>
      </c>
      <c r="AN11" s="44">
        <f t="shared" si="6"/>
        <v>0</v>
      </c>
      <c r="AO11" s="49">
        <f t="shared" si="7"/>
        <v>14</v>
      </c>
      <c r="AP11" s="58">
        <v>50000.0</v>
      </c>
      <c r="AQ11" s="59">
        <f t="shared" si="8"/>
        <v>22580.64516</v>
      </c>
      <c r="AR11" s="60">
        <v>200.0</v>
      </c>
      <c r="AS11" s="61">
        <f t="shared" si="9"/>
        <v>22380.64516</v>
      </c>
      <c r="AT11" s="60">
        <v>160.0</v>
      </c>
      <c r="AU11" s="63">
        <f t="shared" si="10"/>
        <v>22540.64516</v>
      </c>
    </row>
    <row r="12">
      <c r="A12" s="48">
        <v>8.0</v>
      </c>
      <c r="B12" s="50" t="s">
        <v>62</v>
      </c>
      <c r="C12" s="52" t="s">
        <v>63</v>
      </c>
      <c r="D12" s="40" t="s">
        <v>61</v>
      </c>
      <c r="E12" s="40" t="s">
        <v>61</v>
      </c>
      <c r="F12" s="41" t="s">
        <v>61</v>
      </c>
      <c r="G12" s="40" t="s">
        <v>61</v>
      </c>
      <c r="H12" s="40" t="s">
        <v>61</v>
      </c>
      <c r="I12" s="40" t="s">
        <v>61</v>
      </c>
      <c r="J12" s="40" t="s">
        <v>61</v>
      </c>
      <c r="K12" s="40" t="s">
        <v>61</v>
      </c>
      <c r="L12" s="40" t="s">
        <v>61</v>
      </c>
      <c r="M12" s="41" t="s">
        <v>61</v>
      </c>
      <c r="N12" s="40" t="s">
        <v>61</v>
      </c>
      <c r="O12" s="40" t="s">
        <v>61</v>
      </c>
      <c r="P12" s="40" t="s">
        <v>61</v>
      </c>
      <c r="Q12" s="40" t="s">
        <v>61</v>
      </c>
      <c r="R12" s="40" t="s">
        <v>61</v>
      </c>
      <c r="S12" s="40" t="s">
        <v>61</v>
      </c>
      <c r="T12" s="41" t="s">
        <v>61</v>
      </c>
      <c r="U12" s="40" t="s">
        <v>34</v>
      </c>
      <c r="V12" s="40" t="s">
        <v>34</v>
      </c>
      <c r="W12" s="40" t="s">
        <v>34</v>
      </c>
      <c r="X12" s="41" t="s">
        <v>9</v>
      </c>
      <c r="Y12" s="40" t="s">
        <v>34</v>
      </c>
      <c r="Z12" s="40" t="s">
        <v>34</v>
      </c>
      <c r="AA12" s="41" t="s">
        <v>35</v>
      </c>
      <c r="AB12" s="40" t="s">
        <v>34</v>
      </c>
      <c r="AC12" s="40" t="s">
        <v>34</v>
      </c>
      <c r="AD12" s="40" t="s">
        <v>34</v>
      </c>
      <c r="AE12" s="40" t="s">
        <v>34</v>
      </c>
      <c r="AF12" s="40" t="s">
        <v>34</v>
      </c>
      <c r="AG12" s="40" t="s">
        <v>34</v>
      </c>
      <c r="AH12" s="41" t="s">
        <v>35</v>
      </c>
      <c r="AI12" s="44">
        <f t="shared" si="1"/>
        <v>11</v>
      </c>
      <c r="AJ12" s="44">
        <f t="shared" si="2"/>
        <v>17</v>
      </c>
      <c r="AK12" s="44">
        <f t="shared" si="3"/>
        <v>2</v>
      </c>
      <c r="AL12" s="44">
        <f t="shared" si="4"/>
        <v>0</v>
      </c>
      <c r="AM12" s="44">
        <f t="shared" si="5"/>
        <v>0</v>
      </c>
      <c r="AN12" s="44">
        <f t="shared" si="6"/>
        <v>1</v>
      </c>
      <c r="AO12" s="49">
        <f t="shared" si="7"/>
        <v>13</v>
      </c>
      <c r="AP12" s="58">
        <v>30000.0</v>
      </c>
      <c r="AQ12" s="59">
        <f t="shared" si="8"/>
        <v>12580.64516</v>
      </c>
      <c r="AR12" s="60">
        <v>200.0</v>
      </c>
      <c r="AS12" s="61">
        <f t="shared" si="9"/>
        <v>12380.64516</v>
      </c>
      <c r="AT12" s="73">
        <v>0.0</v>
      </c>
      <c r="AU12" s="63">
        <f t="shared" si="10"/>
        <v>12380.64516</v>
      </c>
    </row>
    <row r="13">
      <c r="A13" s="48">
        <v>9.0</v>
      </c>
      <c r="B13" s="50" t="s">
        <v>55</v>
      </c>
      <c r="C13" s="52" t="s">
        <v>57</v>
      </c>
      <c r="D13" s="40" t="s">
        <v>34</v>
      </c>
      <c r="E13" s="40" t="s">
        <v>34</v>
      </c>
      <c r="F13" s="41" t="s">
        <v>35</v>
      </c>
      <c r="G13" s="40" t="s">
        <v>34</v>
      </c>
      <c r="H13" s="40" t="s">
        <v>34</v>
      </c>
      <c r="I13" s="40" t="s">
        <v>34</v>
      </c>
      <c r="J13" s="40" t="s">
        <v>34</v>
      </c>
      <c r="K13" s="40" t="s">
        <v>34</v>
      </c>
      <c r="L13" s="40" t="s">
        <v>34</v>
      </c>
      <c r="M13" s="41" t="s">
        <v>35</v>
      </c>
      <c r="N13" s="40" t="s">
        <v>34</v>
      </c>
      <c r="O13" s="40" t="s">
        <v>34</v>
      </c>
      <c r="P13" s="40" t="s">
        <v>34</v>
      </c>
      <c r="Q13" s="40" t="s">
        <v>34</v>
      </c>
      <c r="R13" s="40" t="s">
        <v>34</v>
      </c>
      <c r="S13" s="40" t="s">
        <v>34</v>
      </c>
      <c r="T13" s="41" t="s">
        <v>35</v>
      </c>
      <c r="U13" s="40" t="s">
        <v>34</v>
      </c>
      <c r="V13" s="40" t="s">
        <v>34</v>
      </c>
      <c r="W13" s="40" t="s">
        <v>34</v>
      </c>
      <c r="X13" s="40" t="s">
        <v>34</v>
      </c>
      <c r="Y13" s="40" t="s">
        <v>34</v>
      </c>
      <c r="Z13" s="40" t="s">
        <v>34</v>
      </c>
      <c r="AA13" s="41" t="s">
        <v>35</v>
      </c>
      <c r="AB13" s="40" t="s">
        <v>34</v>
      </c>
      <c r="AC13" s="40" t="s">
        <v>34</v>
      </c>
      <c r="AD13" s="40" t="s">
        <v>34</v>
      </c>
      <c r="AE13" s="40" t="s">
        <v>34</v>
      </c>
      <c r="AF13" s="40" t="s">
        <v>34</v>
      </c>
      <c r="AG13" s="40" t="s">
        <v>34</v>
      </c>
      <c r="AH13" s="41" t="s">
        <v>35</v>
      </c>
      <c r="AI13" s="44">
        <f t="shared" si="1"/>
        <v>26</v>
      </c>
      <c r="AJ13" s="44">
        <f t="shared" si="2"/>
        <v>0</v>
      </c>
      <c r="AK13" s="44">
        <f t="shared" si="3"/>
        <v>5</v>
      </c>
      <c r="AL13" s="44">
        <f t="shared" si="4"/>
        <v>0</v>
      </c>
      <c r="AM13" s="44">
        <f t="shared" si="5"/>
        <v>0</v>
      </c>
      <c r="AN13" s="44">
        <f t="shared" si="6"/>
        <v>0</v>
      </c>
      <c r="AO13" s="49">
        <f t="shared" si="7"/>
        <v>31</v>
      </c>
      <c r="AP13" s="75">
        <v>12000.0</v>
      </c>
      <c r="AQ13" s="77">
        <f t="shared" si="8"/>
        <v>12000</v>
      </c>
      <c r="AR13" s="79">
        <v>0.0</v>
      </c>
      <c r="AS13" s="81">
        <f t="shared" si="9"/>
        <v>12000</v>
      </c>
      <c r="AT13" s="79">
        <v>0.0</v>
      </c>
      <c r="AU13" s="83">
        <f t="shared" si="10"/>
        <v>12000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5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7"/>
      <c r="AR14" s="7"/>
      <c r="AS14" s="7"/>
      <c r="AT14" s="7"/>
      <c r="AU14" s="7">
        <f>SUM(AU5:AU13)</f>
        <v>208422.5161</v>
      </c>
    </row>
    <row r="15">
      <c r="A15" s="85" t="s">
        <v>70</v>
      </c>
      <c r="B15" s="66"/>
      <c r="C15" s="1"/>
      <c r="D15" s="86" t="s">
        <v>32</v>
      </c>
      <c r="E15" s="86">
        <v>24800.0</v>
      </c>
      <c r="F15" s="1"/>
      <c r="G15" s="1"/>
      <c r="H15" s="1"/>
      <c r="I15" s="88" t="s">
        <v>71</v>
      </c>
      <c r="J15" s="9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7"/>
      <c r="AR15" s="7"/>
      <c r="AS15" s="7"/>
      <c r="AT15" s="7"/>
      <c r="AU15" s="7"/>
    </row>
    <row r="16">
      <c r="A16" s="50" t="s">
        <v>52</v>
      </c>
      <c r="B16" s="52">
        <v>300000.0</v>
      </c>
      <c r="C16" s="1"/>
      <c r="D16" s="86" t="s">
        <v>36</v>
      </c>
      <c r="E16" s="86">
        <v>24800.0</v>
      </c>
      <c r="F16" s="1"/>
      <c r="G16" s="1"/>
      <c r="H16" s="1"/>
      <c r="I16" s="95" t="s">
        <v>32</v>
      </c>
      <c r="J16" s="97">
        <v>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7"/>
      <c r="AR16" s="7"/>
      <c r="AS16" s="7"/>
      <c r="AT16" s="7"/>
      <c r="AU16" s="7"/>
    </row>
    <row r="17">
      <c r="A17" s="50" t="s">
        <v>53</v>
      </c>
      <c r="B17" s="52">
        <f>B16/12</f>
        <v>25000</v>
      </c>
      <c r="C17" s="1"/>
      <c r="D17" s="86" t="s">
        <v>37</v>
      </c>
      <c r="E17" s="86">
        <v>60015.05376</v>
      </c>
      <c r="F17" s="1"/>
      <c r="G17" s="1"/>
      <c r="H17" s="1"/>
      <c r="I17" s="95" t="s">
        <v>36</v>
      </c>
      <c r="J17" s="99">
        <v>210.0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7"/>
      <c r="AR17" s="7"/>
      <c r="AS17" s="7"/>
      <c r="AT17" s="7"/>
      <c r="AU17" s="7"/>
    </row>
    <row r="18">
      <c r="A18" s="50" t="s">
        <v>54</v>
      </c>
      <c r="B18" s="52">
        <f>B17/31</f>
        <v>806.4516129</v>
      </c>
      <c r="C18" s="1"/>
      <c r="D18" s="86" t="s">
        <v>41</v>
      </c>
      <c r="E18" s="86">
        <v>4516.129032</v>
      </c>
      <c r="F18" s="1"/>
      <c r="G18" s="1"/>
      <c r="H18" s="1"/>
      <c r="I18" s="95" t="s">
        <v>37</v>
      </c>
      <c r="J18" s="10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7"/>
      <c r="AR18" s="7"/>
      <c r="AS18" s="7"/>
      <c r="AT18" s="7"/>
      <c r="AU18" s="7"/>
    </row>
    <row r="19">
      <c r="A19" s="50" t="s">
        <v>56</v>
      </c>
      <c r="B19" s="52">
        <v>31.0</v>
      </c>
      <c r="C19" s="1"/>
      <c r="D19" s="86" t="s">
        <v>45</v>
      </c>
      <c r="E19" s="86">
        <v>24800.0</v>
      </c>
      <c r="F19" s="104">
        <f>sum(E19+180)</f>
        <v>24980</v>
      </c>
      <c r="G19" s="1"/>
      <c r="H19" s="1"/>
      <c r="I19" s="95" t="s">
        <v>41</v>
      </c>
      <c r="J19" s="97">
        <v>0.0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7"/>
      <c r="AR19" s="7"/>
      <c r="AS19" s="7"/>
      <c r="AT19" s="7"/>
      <c r="AU19" s="7"/>
    </row>
    <row r="20">
      <c r="A20" s="50" t="s">
        <v>58</v>
      </c>
      <c r="B20" s="107">
        <f>B18*B19</f>
        <v>25000</v>
      </c>
      <c r="C20" s="1"/>
      <c r="D20" s="86" t="s">
        <v>47</v>
      </c>
      <c r="E20" s="86">
        <v>27419.35484</v>
      </c>
      <c r="F20" s="1"/>
      <c r="G20" s="1"/>
      <c r="H20" s="1"/>
      <c r="I20" s="95" t="s">
        <v>45</v>
      </c>
      <c r="J20" s="99">
        <v>180.0</v>
      </c>
      <c r="K20" s="1"/>
      <c r="L20" s="109" t="s">
        <v>74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7"/>
      <c r="AR20" s="7"/>
      <c r="AS20" s="7"/>
      <c r="AT20" s="7"/>
      <c r="AU20" s="7"/>
    </row>
    <row r="21">
      <c r="A21" s="50" t="s">
        <v>59</v>
      </c>
      <c r="B21" s="52">
        <v>200.0</v>
      </c>
      <c r="C21" s="1"/>
      <c r="D21" s="86" t="s">
        <v>51</v>
      </c>
      <c r="E21" s="86">
        <v>27419.35484</v>
      </c>
      <c r="F21" s="104">
        <f>sum(E21+160)</f>
        <v>27579.35484</v>
      </c>
      <c r="G21" s="1"/>
      <c r="H21" s="1"/>
      <c r="I21" s="95" t="s">
        <v>47</v>
      </c>
      <c r="J21" s="10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7"/>
      <c r="AR21" s="7"/>
      <c r="AS21" s="7"/>
      <c r="AT21" s="7"/>
      <c r="AU21" s="7"/>
    </row>
    <row r="22">
      <c r="A22" s="50" t="s">
        <v>60</v>
      </c>
      <c r="B22" s="110">
        <f>B20-B21</f>
        <v>24800</v>
      </c>
      <c r="C22" s="1"/>
      <c r="D22" s="86" t="s">
        <v>62</v>
      </c>
      <c r="E22" s="86">
        <v>15283.87097</v>
      </c>
      <c r="F22" s="1"/>
      <c r="G22" s="1"/>
      <c r="H22" s="1"/>
      <c r="I22" s="95" t="s">
        <v>51</v>
      </c>
      <c r="J22" s="99">
        <v>160.0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7"/>
      <c r="AR22" s="7"/>
      <c r="AS22" s="7"/>
      <c r="AT22" s="7"/>
      <c r="AU22" s="7"/>
    </row>
    <row r="23">
      <c r="A23" s="1"/>
      <c r="B23" s="1"/>
      <c r="C23" s="1"/>
      <c r="D23" s="86" t="s">
        <v>55</v>
      </c>
      <c r="E23" s="86">
        <v>12000.0</v>
      </c>
      <c r="F23" s="1"/>
      <c r="G23" s="1"/>
      <c r="H23" s="1"/>
      <c r="I23" s="95" t="s">
        <v>62</v>
      </c>
      <c r="J23" s="10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7"/>
      <c r="AR23" s="7"/>
      <c r="AS23" s="7"/>
      <c r="AT23" s="7"/>
      <c r="AU23" s="7"/>
    </row>
    <row r="24">
      <c r="A24" s="85" t="s">
        <v>75</v>
      </c>
      <c r="B24" s="66"/>
      <c r="C24" s="1"/>
      <c r="D24" s="1"/>
      <c r="E24" s="1"/>
      <c r="F24" s="1"/>
      <c r="G24" s="1"/>
      <c r="H24" s="1"/>
      <c r="I24" s="95" t="s">
        <v>55</v>
      </c>
      <c r="J24" s="97">
        <v>0.0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7"/>
      <c r="AR24" s="7"/>
      <c r="AS24" s="7"/>
      <c r="AT24" s="7"/>
      <c r="AU24" s="7"/>
    </row>
    <row r="25">
      <c r="A25" s="50" t="s">
        <v>52</v>
      </c>
      <c r="B25" s="52">
        <v>800000.0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7"/>
      <c r="AR25" s="7"/>
      <c r="AS25" s="7"/>
      <c r="AT25" s="7"/>
      <c r="AU25" s="7"/>
    </row>
    <row r="26">
      <c r="A26" s="50" t="s">
        <v>53</v>
      </c>
      <c r="B26" s="52">
        <f>B25/12</f>
        <v>66666.66667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7"/>
      <c r="AR26" s="7"/>
      <c r="AS26" s="7"/>
      <c r="AT26" s="7"/>
      <c r="AU26" s="7"/>
    </row>
    <row r="27">
      <c r="A27" s="50" t="s">
        <v>54</v>
      </c>
      <c r="B27" s="52">
        <f>B26/31</f>
        <v>2150.537634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7"/>
      <c r="AR27" s="7"/>
      <c r="AS27" s="7"/>
      <c r="AT27" s="7"/>
      <c r="AU27" s="7"/>
    </row>
    <row r="28">
      <c r="A28" s="50" t="s">
        <v>56</v>
      </c>
      <c r="B28" s="52">
        <v>28.0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7"/>
      <c r="AR28" s="7"/>
      <c r="AS28" s="7"/>
      <c r="AT28" s="7"/>
      <c r="AU28" s="7"/>
    </row>
    <row r="29">
      <c r="A29" s="50" t="s">
        <v>58</v>
      </c>
      <c r="B29" s="107">
        <f>B27*B28</f>
        <v>60215.05376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7"/>
      <c r="AR29" s="7"/>
      <c r="AS29" s="7"/>
      <c r="AT29" s="7"/>
      <c r="AU29" s="7"/>
    </row>
    <row r="30">
      <c r="A30" s="50" t="s">
        <v>59</v>
      </c>
      <c r="B30" s="52">
        <v>400.0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7"/>
      <c r="AR30" s="7"/>
      <c r="AS30" s="7"/>
      <c r="AT30" s="7"/>
      <c r="AU30" s="7"/>
    </row>
    <row r="31">
      <c r="A31" s="50" t="s">
        <v>60</v>
      </c>
      <c r="B31" s="110">
        <f>B29-B30</f>
        <v>59815.05376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7"/>
      <c r="AR31" s="7"/>
      <c r="AS31" s="7"/>
      <c r="AT31" s="7"/>
      <c r="AU31" s="7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7"/>
      <c r="AR32" s="7"/>
      <c r="AS32" s="7"/>
      <c r="AT32" s="7"/>
      <c r="AU32" s="7"/>
    </row>
    <row r="33">
      <c r="A33" s="85" t="s">
        <v>76</v>
      </c>
      <c r="B33" s="6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7"/>
      <c r="AR33" s="7"/>
      <c r="AS33" s="7"/>
      <c r="AT33" s="7"/>
      <c r="AU33" s="7"/>
    </row>
    <row r="34">
      <c r="A34" s="50" t="s">
        <v>52</v>
      </c>
      <c r="B34" s="52">
        <v>600000.0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7"/>
      <c r="AR34" s="7"/>
      <c r="AS34" s="7"/>
      <c r="AT34" s="7"/>
      <c r="AU34" s="7"/>
    </row>
    <row r="35">
      <c r="A35" s="50" t="s">
        <v>53</v>
      </c>
      <c r="B35" s="52">
        <f>B34/12</f>
        <v>50000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7"/>
      <c r="AR35" s="7"/>
      <c r="AS35" s="7"/>
      <c r="AT35" s="7"/>
      <c r="AU35" s="7"/>
    </row>
    <row r="36">
      <c r="A36" s="50" t="s">
        <v>54</v>
      </c>
      <c r="B36" s="52">
        <f>B35/31</f>
        <v>1612.903226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7"/>
      <c r="AR36" s="7"/>
      <c r="AS36" s="7"/>
      <c r="AT36" s="7"/>
      <c r="AU36" s="7"/>
    </row>
    <row r="37">
      <c r="A37" s="50" t="s">
        <v>56</v>
      </c>
      <c r="B37" s="52">
        <v>14.0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7"/>
      <c r="AR37" s="7"/>
      <c r="AS37" s="7"/>
      <c r="AT37" s="7"/>
      <c r="AU37" s="7"/>
    </row>
    <row r="38">
      <c r="A38" s="50" t="s">
        <v>58</v>
      </c>
      <c r="B38" s="107">
        <f>B36*B37</f>
        <v>22580.64516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7"/>
      <c r="AR38" s="7"/>
      <c r="AS38" s="7"/>
      <c r="AT38" s="7"/>
      <c r="AU38" s="7"/>
    </row>
    <row r="39">
      <c r="A39" s="50" t="s">
        <v>59</v>
      </c>
      <c r="B39" s="52">
        <v>200.0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7"/>
      <c r="AR39" s="7"/>
      <c r="AS39" s="7"/>
      <c r="AT39" s="7"/>
      <c r="AU39" s="7"/>
    </row>
    <row r="40">
      <c r="A40" s="50" t="s">
        <v>60</v>
      </c>
      <c r="B40" s="110">
        <f>B38-B39</f>
        <v>22380.64516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7"/>
      <c r="AR40" s="7"/>
      <c r="AS40" s="7"/>
      <c r="AT40" s="7"/>
      <c r="AU40" s="7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7"/>
      <c r="AR41" s="7"/>
      <c r="AS41" s="7"/>
      <c r="AT41" s="7"/>
      <c r="AU41" s="7"/>
    </row>
    <row r="42">
      <c r="A42" s="85" t="s">
        <v>77</v>
      </c>
      <c r="B42" s="6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7"/>
      <c r="AR42" s="7"/>
      <c r="AS42" s="7"/>
      <c r="AT42" s="7"/>
      <c r="AU42" s="7"/>
    </row>
    <row r="43">
      <c r="A43" s="50" t="s">
        <v>52</v>
      </c>
      <c r="B43" s="52">
        <v>360000.0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7"/>
      <c r="AR43" s="7"/>
      <c r="AS43" s="7"/>
      <c r="AT43" s="7"/>
      <c r="AU43" s="7"/>
    </row>
    <row r="44">
      <c r="A44" s="50" t="s">
        <v>53</v>
      </c>
      <c r="B44" s="52">
        <f>B43/12</f>
        <v>30000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7"/>
      <c r="AR44" s="7"/>
      <c r="AS44" s="7"/>
      <c r="AT44" s="7"/>
      <c r="AU44" s="7"/>
    </row>
    <row r="45">
      <c r="A45" s="50" t="s">
        <v>54</v>
      </c>
      <c r="B45" s="52">
        <f>B44/31</f>
        <v>967.7419355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7"/>
      <c r="AR45" s="7"/>
      <c r="AS45" s="7"/>
      <c r="AT45" s="7"/>
      <c r="AU45" s="7"/>
    </row>
    <row r="46">
      <c r="A46" s="50" t="s">
        <v>56</v>
      </c>
      <c r="B46" s="52">
        <v>13.0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7"/>
      <c r="AR46" s="7"/>
      <c r="AS46" s="7"/>
      <c r="AT46" s="7"/>
      <c r="AU46" s="7"/>
    </row>
    <row r="47">
      <c r="A47" s="50" t="s">
        <v>58</v>
      </c>
      <c r="B47" s="107">
        <f>B45*B46</f>
        <v>12580.64516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7"/>
      <c r="AR47" s="7"/>
      <c r="AS47" s="7"/>
      <c r="AT47" s="7"/>
      <c r="AU47" s="7"/>
    </row>
    <row r="48">
      <c r="A48" s="50" t="s">
        <v>59</v>
      </c>
      <c r="B48" s="52">
        <v>200.0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7"/>
      <c r="AR48" s="7"/>
      <c r="AS48" s="7"/>
      <c r="AT48" s="7"/>
      <c r="AU48" s="7"/>
    </row>
    <row r="49">
      <c r="A49" s="50" t="s">
        <v>60</v>
      </c>
      <c r="B49" s="110">
        <f>B47-B48</f>
        <v>12380.64516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7"/>
      <c r="AR49" s="7"/>
      <c r="AS49" s="7"/>
      <c r="AT49" s="7"/>
      <c r="AU49" s="7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7"/>
      <c r="AR50" s="7"/>
      <c r="AS50" s="7"/>
      <c r="AT50" s="7"/>
      <c r="AU50" s="7"/>
    </row>
    <row r="51">
      <c r="A51" s="85" t="s">
        <v>78</v>
      </c>
      <c r="B51" s="6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7"/>
      <c r="AR51" s="7"/>
      <c r="AS51" s="7"/>
      <c r="AT51" s="7"/>
      <c r="AU51" s="7"/>
    </row>
    <row r="52">
      <c r="A52" s="50" t="s">
        <v>79</v>
      </c>
      <c r="B52" s="52">
        <v>5000.0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7"/>
      <c r="AR52" s="7"/>
      <c r="AS52" s="7"/>
      <c r="AT52" s="7"/>
      <c r="AU52" s="7"/>
    </row>
    <row r="53">
      <c r="A53" s="50" t="s">
        <v>80</v>
      </c>
      <c r="B53" s="52">
        <f>B52/31</f>
        <v>161.2903226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7"/>
      <c r="AR53" s="7"/>
      <c r="AS53" s="7"/>
      <c r="AT53" s="7"/>
      <c r="AU53" s="7"/>
    </row>
    <row r="54">
      <c r="A54" s="50" t="s">
        <v>56</v>
      </c>
      <c r="B54" s="52">
        <v>28.0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7"/>
      <c r="AR54" s="7"/>
      <c r="AS54" s="7"/>
      <c r="AT54" s="7"/>
      <c r="AU54" s="7"/>
    </row>
    <row r="55">
      <c r="A55" s="50" t="s">
        <v>60</v>
      </c>
      <c r="B55" s="110">
        <f>B53*B54</f>
        <v>4516.129032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7"/>
      <c r="AR55" s="7"/>
      <c r="AS55" s="7"/>
      <c r="AT55" s="7"/>
      <c r="AU55" s="7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7"/>
      <c r="AR56" s="7"/>
      <c r="AS56" s="7"/>
      <c r="AT56" s="7"/>
      <c r="AU56" s="7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7"/>
      <c r="AR57" s="7"/>
      <c r="AS57" s="7"/>
      <c r="AT57" s="7"/>
      <c r="AU57" s="7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7"/>
      <c r="AR58" s="7"/>
      <c r="AS58" s="7"/>
      <c r="AT58" s="7"/>
      <c r="AU58" s="7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7"/>
      <c r="AR59" s="7"/>
      <c r="AS59" s="7"/>
      <c r="AT59" s="7"/>
      <c r="AU59" s="7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7"/>
      <c r="AR60" s="7"/>
      <c r="AS60" s="7"/>
      <c r="AT60" s="7"/>
      <c r="AU60" s="7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7"/>
      <c r="AR61" s="7"/>
      <c r="AS61" s="7"/>
      <c r="AT61" s="7"/>
      <c r="AU61" s="7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7"/>
      <c r="AR62" s="7"/>
      <c r="AS62" s="7"/>
      <c r="AT62" s="7"/>
      <c r="AU62" s="7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7"/>
      <c r="AR63" s="7"/>
      <c r="AS63" s="7"/>
      <c r="AT63" s="7"/>
      <c r="AU63" s="7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7"/>
      <c r="AR64" s="7"/>
      <c r="AS64" s="7"/>
      <c r="AT64" s="7"/>
      <c r="AU64" s="7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7"/>
      <c r="AR65" s="7"/>
      <c r="AS65" s="7"/>
      <c r="AT65" s="7"/>
      <c r="AU65" s="7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7"/>
      <c r="AR66" s="7"/>
      <c r="AS66" s="7"/>
      <c r="AT66" s="7"/>
      <c r="AU66" s="7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7"/>
      <c r="AR67" s="7"/>
      <c r="AS67" s="7"/>
      <c r="AT67" s="7"/>
      <c r="AU67" s="7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7"/>
      <c r="AR68" s="7"/>
      <c r="AS68" s="7"/>
      <c r="AT68" s="7"/>
      <c r="AU68" s="7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7"/>
      <c r="AR69" s="7"/>
      <c r="AS69" s="7"/>
      <c r="AT69" s="7"/>
      <c r="AU69" s="7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7"/>
      <c r="AR70" s="7"/>
      <c r="AS70" s="7"/>
      <c r="AT70" s="7"/>
      <c r="AU70" s="7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7"/>
      <c r="AR71" s="7"/>
      <c r="AS71" s="7"/>
      <c r="AT71" s="7"/>
      <c r="AU71" s="7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7"/>
      <c r="AR72" s="7"/>
      <c r="AS72" s="7"/>
      <c r="AT72" s="7"/>
      <c r="AU72" s="7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7"/>
      <c r="AR73" s="7"/>
      <c r="AS73" s="7"/>
      <c r="AT73" s="7"/>
      <c r="AU73" s="7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7"/>
      <c r="AR74" s="7"/>
      <c r="AS74" s="7"/>
      <c r="AT74" s="7"/>
      <c r="AU74" s="7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7"/>
      <c r="AR75" s="7"/>
      <c r="AS75" s="7"/>
      <c r="AT75" s="7"/>
      <c r="AU75" s="7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7"/>
      <c r="AR76" s="7"/>
      <c r="AS76" s="7"/>
      <c r="AT76" s="7"/>
      <c r="AU76" s="7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7"/>
      <c r="AR77" s="7"/>
      <c r="AS77" s="7"/>
      <c r="AT77" s="7"/>
      <c r="AU77" s="7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7"/>
      <c r="AR78" s="7"/>
      <c r="AS78" s="7"/>
      <c r="AT78" s="7"/>
      <c r="AU78" s="7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7"/>
      <c r="AR79" s="7"/>
      <c r="AS79" s="7"/>
      <c r="AT79" s="7"/>
      <c r="AU79" s="7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7"/>
      <c r="AR80" s="7"/>
      <c r="AS80" s="7"/>
      <c r="AT80" s="7"/>
      <c r="AU80" s="7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7"/>
      <c r="AR81" s="7"/>
      <c r="AS81" s="7"/>
      <c r="AT81" s="7"/>
      <c r="AU81" s="7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7"/>
      <c r="AR82" s="7"/>
      <c r="AS82" s="7"/>
      <c r="AT82" s="7"/>
      <c r="AU82" s="7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7"/>
      <c r="AR83" s="7"/>
      <c r="AS83" s="7"/>
      <c r="AT83" s="7"/>
      <c r="AU83" s="7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7"/>
      <c r="AR84" s="7"/>
      <c r="AS84" s="7"/>
      <c r="AT84" s="7"/>
      <c r="AU84" s="7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7"/>
      <c r="AR85" s="7"/>
      <c r="AS85" s="7"/>
      <c r="AT85" s="7"/>
      <c r="AU85" s="7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7"/>
      <c r="AR86" s="7"/>
      <c r="AS86" s="7"/>
      <c r="AT86" s="7"/>
      <c r="AU86" s="7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7"/>
      <c r="AR87" s="7"/>
      <c r="AS87" s="7"/>
      <c r="AT87" s="7"/>
      <c r="AU87" s="7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7"/>
      <c r="AR88" s="7"/>
      <c r="AS88" s="7"/>
      <c r="AT88" s="7"/>
      <c r="AU88" s="7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7"/>
      <c r="AR89" s="7"/>
      <c r="AS89" s="7"/>
      <c r="AT89" s="7"/>
      <c r="AU89" s="7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7"/>
      <c r="AR90" s="7"/>
      <c r="AS90" s="7"/>
      <c r="AT90" s="7"/>
      <c r="AU90" s="7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7"/>
      <c r="AR91" s="7"/>
      <c r="AS91" s="7"/>
      <c r="AT91" s="7"/>
      <c r="AU91" s="7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7"/>
      <c r="AR92" s="7"/>
      <c r="AS92" s="7"/>
      <c r="AT92" s="7"/>
      <c r="AU92" s="7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7"/>
      <c r="AR93" s="7"/>
      <c r="AS93" s="7"/>
      <c r="AT93" s="7"/>
      <c r="AU93" s="7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7"/>
      <c r="AR94" s="7"/>
      <c r="AS94" s="7"/>
      <c r="AT94" s="7"/>
      <c r="AU94" s="7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7"/>
      <c r="AR95" s="7"/>
      <c r="AS95" s="7"/>
      <c r="AT95" s="7"/>
      <c r="AU95" s="7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7"/>
      <c r="AR96" s="7"/>
      <c r="AS96" s="7"/>
      <c r="AT96" s="7"/>
      <c r="AU96" s="7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7"/>
      <c r="AR97" s="7"/>
      <c r="AS97" s="7"/>
      <c r="AT97" s="7"/>
      <c r="AU97" s="7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7"/>
      <c r="AR98" s="7"/>
      <c r="AS98" s="7"/>
      <c r="AT98" s="7"/>
      <c r="AU98" s="7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7"/>
      <c r="AR99" s="7"/>
      <c r="AS99" s="7"/>
      <c r="AT99" s="7"/>
      <c r="AU99" s="7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7"/>
      <c r="AR100" s="7"/>
      <c r="AS100" s="7"/>
      <c r="AT100" s="7"/>
      <c r="AU100" s="7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7"/>
      <c r="AR101" s="7"/>
      <c r="AS101" s="7"/>
      <c r="AT101" s="7"/>
      <c r="AU101" s="7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7"/>
      <c r="AR102" s="7"/>
      <c r="AS102" s="7"/>
      <c r="AT102" s="7"/>
      <c r="AU102" s="7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7"/>
      <c r="AR103" s="7"/>
      <c r="AS103" s="7"/>
      <c r="AT103" s="7"/>
      <c r="AU103" s="7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7"/>
      <c r="AR104" s="7"/>
      <c r="AS104" s="7"/>
      <c r="AT104" s="7"/>
      <c r="AU104" s="7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7"/>
      <c r="AR105" s="7"/>
      <c r="AS105" s="7"/>
      <c r="AT105" s="7"/>
      <c r="AU105" s="7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7"/>
      <c r="AR106" s="7"/>
      <c r="AS106" s="7"/>
      <c r="AT106" s="7"/>
      <c r="AU106" s="7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7"/>
      <c r="AR107" s="7"/>
      <c r="AS107" s="7"/>
      <c r="AT107" s="7"/>
      <c r="AU107" s="7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7"/>
      <c r="AR108" s="7"/>
      <c r="AS108" s="7"/>
      <c r="AT108" s="7"/>
      <c r="AU108" s="7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7"/>
      <c r="AR109" s="7"/>
      <c r="AS109" s="7"/>
      <c r="AT109" s="7"/>
      <c r="AU109" s="7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7"/>
      <c r="AR110" s="7"/>
      <c r="AS110" s="7"/>
      <c r="AT110" s="7"/>
      <c r="AU110" s="7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7"/>
      <c r="AR111" s="7"/>
      <c r="AS111" s="7"/>
      <c r="AT111" s="7"/>
      <c r="AU111" s="7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7"/>
      <c r="AR112" s="7"/>
      <c r="AS112" s="7"/>
      <c r="AT112" s="7"/>
      <c r="AU112" s="7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7"/>
      <c r="AR113" s="7"/>
      <c r="AS113" s="7"/>
      <c r="AT113" s="7"/>
      <c r="AU113" s="7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7"/>
      <c r="AR114" s="7"/>
      <c r="AS114" s="7"/>
      <c r="AT114" s="7"/>
      <c r="AU114" s="7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7"/>
      <c r="AR115" s="7"/>
      <c r="AS115" s="7"/>
      <c r="AT115" s="7"/>
      <c r="AU115" s="7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7"/>
      <c r="AR116" s="7"/>
      <c r="AS116" s="7"/>
      <c r="AT116" s="7"/>
      <c r="AU116" s="7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7"/>
      <c r="AR117" s="7"/>
      <c r="AS117" s="7"/>
      <c r="AT117" s="7"/>
      <c r="AU117" s="7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7"/>
      <c r="AR118" s="7"/>
      <c r="AS118" s="7"/>
      <c r="AT118" s="7"/>
      <c r="AU118" s="7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7"/>
      <c r="AR119" s="7"/>
      <c r="AS119" s="7"/>
      <c r="AT119" s="7"/>
      <c r="AU119" s="7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7"/>
      <c r="AR120" s="7"/>
      <c r="AS120" s="7"/>
      <c r="AT120" s="7"/>
      <c r="AU120" s="7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7"/>
      <c r="AR121" s="7"/>
      <c r="AS121" s="7"/>
      <c r="AT121" s="7"/>
      <c r="AU121" s="7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7"/>
      <c r="AR122" s="7"/>
      <c r="AS122" s="7"/>
      <c r="AT122" s="7"/>
      <c r="AU122" s="7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7"/>
      <c r="AR123" s="7"/>
      <c r="AS123" s="7"/>
      <c r="AT123" s="7"/>
      <c r="AU123" s="7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7"/>
      <c r="AR124" s="7"/>
      <c r="AS124" s="7"/>
      <c r="AT124" s="7"/>
      <c r="AU124" s="7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7"/>
      <c r="AR125" s="7"/>
      <c r="AS125" s="7"/>
      <c r="AT125" s="7"/>
      <c r="AU125" s="7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7"/>
      <c r="AR126" s="7"/>
      <c r="AS126" s="7"/>
      <c r="AT126" s="7"/>
      <c r="AU126" s="7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7"/>
      <c r="AR127" s="7"/>
      <c r="AS127" s="7"/>
      <c r="AT127" s="7"/>
      <c r="AU127" s="7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7"/>
      <c r="AR128" s="7"/>
      <c r="AS128" s="7"/>
      <c r="AT128" s="7"/>
      <c r="AU128" s="7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7"/>
      <c r="AR129" s="7"/>
      <c r="AS129" s="7"/>
      <c r="AT129" s="7"/>
      <c r="AU129" s="7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7"/>
      <c r="AR130" s="7"/>
      <c r="AS130" s="7"/>
      <c r="AT130" s="7"/>
      <c r="AU130" s="7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7"/>
      <c r="AR131" s="7"/>
      <c r="AS131" s="7"/>
      <c r="AT131" s="7"/>
      <c r="AU131" s="7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7"/>
      <c r="AR132" s="7"/>
      <c r="AS132" s="7"/>
      <c r="AT132" s="7"/>
      <c r="AU132" s="7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7"/>
      <c r="AR133" s="7"/>
      <c r="AS133" s="7"/>
      <c r="AT133" s="7"/>
      <c r="AU133" s="7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7"/>
      <c r="AR134" s="7"/>
      <c r="AS134" s="7"/>
      <c r="AT134" s="7"/>
      <c r="AU134" s="7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7"/>
      <c r="AR135" s="7"/>
      <c r="AS135" s="7"/>
      <c r="AT135" s="7"/>
      <c r="AU135" s="7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7"/>
      <c r="AR136" s="7"/>
      <c r="AS136" s="7"/>
      <c r="AT136" s="7"/>
      <c r="AU136" s="7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7"/>
      <c r="AR137" s="7"/>
      <c r="AS137" s="7"/>
      <c r="AT137" s="7"/>
      <c r="AU137" s="7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7"/>
      <c r="AR138" s="7"/>
      <c r="AS138" s="7"/>
      <c r="AT138" s="7"/>
      <c r="AU138" s="7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7"/>
      <c r="AR139" s="7"/>
      <c r="AS139" s="7"/>
      <c r="AT139" s="7"/>
      <c r="AU139" s="7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7"/>
      <c r="AR140" s="7"/>
      <c r="AS140" s="7"/>
      <c r="AT140" s="7"/>
      <c r="AU140" s="7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7"/>
      <c r="AR141" s="7"/>
      <c r="AS141" s="7"/>
      <c r="AT141" s="7"/>
      <c r="AU141" s="7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7"/>
      <c r="AR142" s="7"/>
      <c r="AS142" s="7"/>
      <c r="AT142" s="7"/>
      <c r="AU142" s="7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7"/>
      <c r="AR143" s="7"/>
      <c r="AS143" s="7"/>
      <c r="AT143" s="7"/>
      <c r="AU143" s="7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7"/>
      <c r="AR144" s="7"/>
      <c r="AS144" s="7"/>
      <c r="AT144" s="7"/>
      <c r="AU144" s="7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7"/>
      <c r="AR145" s="7"/>
      <c r="AS145" s="7"/>
      <c r="AT145" s="7"/>
      <c r="AU145" s="7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7"/>
      <c r="AR146" s="7"/>
      <c r="AS146" s="7"/>
      <c r="AT146" s="7"/>
      <c r="AU146" s="7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7"/>
      <c r="AR147" s="7"/>
      <c r="AS147" s="7"/>
      <c r="AT147" s="7"/>
      <c r="AU147" s="7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7"/>
      <c r="AR148" s="7"/>
      <c r="AS148" s="7"/>
      <c r="AT148" s="7"/>
      <c r="AU148" s="7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7"/>
      <c r="AR149" s="7"/>
      <c r="AS149" s="7"/>
      <c r="AT149" s="7"/>
      <c r="AU149" s="7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7"/>
      <c r="AR150" s="7"/>
      <c r="AS150" s="7"/>
      <c r="AT150" s="7"/>
      <c r="AU150" s="7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7"/>
      <c r="AR151" s="7"/>
      <c r="AS151" s="7"/>
      <c r="AT151" s="7"/>
      <c r="AU151" s="7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7"/>
      <c r="AR152" s="7"/>
      <c r="AS152" s="7"/>
      <c r="AT152" s="7"/>
      <c r="AU152" s="7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7"/>
      <c r="AR153" s="7"/>
      <c r="AS153" s="7"/>
      <c r="AT153" s="7"/>
      <c r="AU153" s="7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7"/>
      <c r="AR154" s="7"/>
      <c r="AS154" s="7"/>
      <c r="AT154" s="7"/>
      <c r="AU154" s="7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7"/>
      <c r="AR155" s="7"/>
      <c r="AS155" s="7"/>
      <c r="AT155" s="7"/>
      <c r="AU155" s="7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7"/>
      <c r="AR156" s="7"/>
      <c r="AS156" s="7"/>
      <c r="AT156" s="7"/>
      <c r="AU156" s="7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7"/>
      <c r="AR157" s="7"/>
      <c r="AS157" s="7"/>
      <c r="AT157" s="7"/>
      <c r="AU157" s="7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7"/>
      <c r="AR158" s="7"/>
      <c r="AS158" s="7"/>
      <c r="AT158" s="7"/>
      <c r="AU158" s="7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7"/>
      <c r="AR159" s="7"/>
      <c r="AS159" s="7"/>
      <c r="AT159" s="7"/>
      <c r="AU159" s="7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7"/>
      <c r="AR160" s="7"/>
      <c r="AS160" s="7"/>
      <c r="AT160" s="7"/>
      <c r="AU160" s="7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7"/>
      <c r="AR161" s="7"/>
      <c r="AS161" s="7"/>
      <c r="AT161" s="7"/>
      <c r="AU161" s="7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7"/>
      <c r="AR162" s="7"/>
      <c r="AS162" s="7"/>
      <c r="AT162" s="7"/>
      <c r="AU162" s="7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7"/>
      <c r="AR163" s="7"/>
      <c r="AS163" s="7"/>
      <c r="AT163" s="7"/>
      <c r="AU163" s="7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7"/>
      <c r="AR164" s="7"/>
      <c r="AS164" s="7"/>
      <c r="AT164" s="7"/>
      <c r="AU164" s="7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7"/>
      <c r="AR165" s="7"/>
      <c r="AS165" s="7"/>
      <c r="AT165" s="7"/>
      <c r="AU165" s="7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7"/>
      <c r="AR166" s="7"/>
      <c r="AS166" s="7"/>
      <c r="AT166" s="7"/>
      <c r="AU166" s="7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7"/>
      <c r="AR167" s="7"/>
      <c r="AS167" s="7"/>
      <c r="AT167" s="7"/>
      <c r="AU167" s="7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7"/>
      <c r="AR168" s="7"/>
      <c r="AS168" s="7"/>
      <c r="AT168" s="7"/>
      <c r="AU168" s="7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7"/>
      <c r="AR169" s="7"/>
      <c r="AS169" s="7"/>
      <c r="AT169" s="7"/>
      <c r="AU169" s="7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7"/>
      <c r="AR170" s="7"/>
      <c r="AS170" s="7"/>
      <c r="AT170" s="7"/>
      <c r="AU170" s="7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7"/>
      <c r="AR171" s="7"/>
      <c r="AS171" s="7"/>
      <c r="AT171" s="7"/>
      <c r="AU171" s="7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7"/>
      <c r="AR172" s="7"/>
      <c r="AS172" s="7"/>
      <c r="AT172" s="7"/>
      <c r="AU172" s="7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7"/>
      <c r="AR173" s="7"/>
      <c r="AS173" s="7"/>
      <c r="AT173" s="7"/>
      <c r="AU173" s="7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7"/>
      <c r="AR174" s="7"/>
      <c r="AS174" s="7"/>
      <c r="AT174" s="7"/>
      <c r="AU174" s="7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7"/>
      <c r="AR175" s="7"/>
      <c r="AS175" s="7"/>
      <c r="AT175" s="7"/>
      <c r="AU175" s="7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7"/>
      <c r="AR176" s="7"/>
      <c r="AS176" s="7"/>
      <c r="AT176" s="7"/>
      <c r="AU176" s="7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7"/>
      <c r="AR177" s="7"/>
      <c r="AS177" s="7"/>
      <c r="AT177" s="7"/>
      <c r="AU177" s="7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7"/>
      <c r="AR178" s="7"/>
      <c r="AS178" s="7"/>
      <c r="AT178" s="7"/>
      <c r="AU178" s="7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7"/>
      <c r="AR179" s="7"/>
      <c r="AS179" s="7"/>
      <c r="AT179" s="7"/>
      <c r="AU179" s="7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7"/>
      <c r="AR180" s="7"/>
      <c r="AS180" s="7"/>
      <c r="AT180" s="7"/>
      <c r="AU180" s="7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7"/>
      <c r="AR181" s="7"/>
      <c r="AS181" s="7"/>
      <c r="AT181" s="7"/>
      <c r="AU181" s="7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7"/>
      <c r="AR182" s="7"/>
      <c r="AS182" s="7"/>
      <c r="AT182" s="7"/>
      <c r="AU182" s="7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7"/>
      <c r="AR183" s="7"/>
      <c r="AS183" s="7"/>
      <c r="AT183" s="7"/>
      <c r="AU183" s="7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7"/>
      <c r="AR184" s="7"/>
      <c r="AS184" s="7"/>
      <c r="AT184" s="7"/>
      <c r="AU184" s="7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7"/>
      <c r="AR185" s="7"/>
      <c r="AS185" s="7"/>
      <c r="AT185" s="7"/>
      <c r="AU185" s="7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7"/>
      <c r="AR186" s="7"/>
      <c r="AS186" s="7"/>
      <c r="AT186" s="7"/>
      <c r="AU186" s="7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7"/>
      <c r="AR187" s="7"/>
      <c r="AS187" s="7"/>
      <c r="AT187" s="7"/>
      <c r="AU187" s="7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7"/>
      <c r="AR188" s="7"/>
      <c r="AS188" s="7"/>
      <c r="AT188" s="7"/>
      <c r="AU188" s="7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7"/>
      <c r="AR189" s="7"/>
      <c r="AS189" s="7"/>
      <c r="AT189" s="7"/>
      <c r="AU189" s="7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7"/>
      <c r="AR190" s="7"/>
      <c r="AS190" s="7"/>
      <c r="AT190" s="7"/>
      <c r="AU190" s="7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7"/>
      <c r="AR191" s="7"/>
      <c r="AS191" s="7"/>
      <c r="AT191" s="7"/>
      <c r="AU191" s="7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7"/>
      <c r="AR192" s="7"/>
      <c r="AS192" s="7"/>
      <c r="AT192" s="7"/>
      <c r="AU192" s="7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7"/>
      <c r="AR193" s="7"/>
      <c r="AS193" s="7"/>
      <c r="AT193" s="7"/>
      <c r="AU193" s="7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7"/>
      <c r="AR194" s="7"/>
      <c r="AS194" s="7"/>
      <c r="AT194" s="7"/>
      <c r="AU194" s="7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7"/>
      <c r="AR195" s="7"/>
      <c r="AS195" s="7"/>
      <c r="AT195" s="7"/>
      <c r="AU195" s="7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7"/>
      <c r="AR196" s="7"/>
      <c r="AS196" s="7"/>
      <c r="AT196" s="7"/>
      <c r="AU196" s="7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7"/>
      <c r="AR197" s="7"/>
      <c r="AS197" s="7"/>
      <c r="AT197" s="7"/>
      <c r="AU197" s="7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7"/>
      <c r="AR198" s="7"/>
      <c r="AS198" s="7"/>
      <c r="AT198" s="7"/>
      <c r="AU198" s="7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7"/>
      <c r="AR199" s="7"/>
      <c r="AS199" s="7"/>
      <c r="AT199" s="7"/>
      <c r="AU199" s="7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7"/>
      <c r="AR200" s="7"/>
      <c r="AS200" s="7"/>
      <c r="AT200" s="7"/>
      <c r="AU200" s="7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7"/>
      <c r="AR201" s="7"/>
      <c r="AS201" s="7"/>
      <c r="AT201" s="7"/>
      <c r="AU201" s="7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7"/>
      <c r="AR202" s="7"/>
      <c r="AS202" s="7"/>
      <c r="AT202" s="7"/>
      <c r="AU202" s="7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7"/>
      <c r="AR203" s="7"/>
      <c r="AS203" s="7"/>
      <c r="AT203" s="7"/>
      <c r="AU203" s="7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7"/>
      <c r="AR204" s="7"/>
      <c r="AS204" s="7"/>
      <c r="AT204" s="7"/>
      <c r="AU204" s="7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7"/>
      <c r="AR205" s="7"/>
      <c r="AS205" s="7"/>
      <c r="AT205" s="7"/>
      <c r="AU205" s="7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7"/>
      <c r="AR206" s="7"/>
      <c r="AS206" s="7"/>
      <c r="AT206" s="7"/>
      <c r="AU206" s="7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7"/>
      <c r="AR207" s="7"/>
      <c r="AS207" s="7"/>
      <c r="AT207" s="7"/>
      <c r="AU207" s="7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7"/>
      <c r="AR208" s="7"/>
      <c r="AS208" s="7"/>
      <c r="AT208" s="7"/>
      <c r="AU208" s="7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7"/>
      <c r="AR209" s="7"/>
      <c r="AS209" s="7"/>
      <c r="AT209" s="7"/>
      <c r="AU209" s="7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7"/>
      <c r="AR210" s="7"/>
      <c r="AS210" s="7"/>
      <c r="AT210" s="7"/>
      <c r="AU210" s="7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7"/>
      <c r="AR211" s="7"/>
      <c r="AS211" s="7"/>
      <c r="AT211" s="7"/>
      <c r="AU211" s="7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7"/>
      <c r="AR212" s="7"/>
      <c r="AS212" s="7"/>
      <c r="AT212" s="7"/>
      <c r="AU212" s="7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7"/>
      <c r="AR213" s="7"/>
      <c r="AS213" s="7"/>
      <c r="AT213" s="7"/>
      <c r="AU213" s="7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7"/>
      <c r="AR214" s="7"/>
      <c r="AS214" s="7"/>
      <c r="AT214" s="7"/>
      <c r="AU214" s="7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7"/>
      <c r="AR215" s="7"/>
      <c r="AS215" s="7"/>
      <c r="AT215" s="7"/>
      <c r="AU215" s="7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7"/>
      <c r="AR216" s="7"/>
      <c r="AS216" s="7"/>
      <c r="AT216" s="7"/>
      <c r="AU216" s="7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7"/>
      <c r="AR217" s="7"/>
      <c r="AS217" s="7"/>
      <c r="AT217" s="7"/>
      <c r="AU217" s="7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7"/>
      <c r="AR218" s="7"/>
      <c r="AS218" s="7"/>
      <c r="AT218" s="7"/>
      <c r="AU218" s="7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7"/>
      <c r="AR219" s="7"/>
      <c r="AS219" s="7"/>
      <c r="AT219" s="7"/>
      <c r="AU219" s="7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7"/>
      <c r="AR220" s="7"/>
      <c r="AS220" s="7"/>
      <c r="AT220" s="7"/>
      <c r="AU220" s="7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7"/>
      <c r="AR221" s="7"/>
      <c r="AS221" s="7"/>
      <c r="AT221" s="7"/>
      <c r="AU221" s="7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7"/>
      <c r="AR222" s="7"/>
      <c r="AS222" s="7"/>
      <c r="AT222" s="7"/>
      <c r="AU222" s="7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7"/>
      <c r="AR223" s="7"/>
      <c r="AS223" s="7"/>
      <c r="AT223" s="7"/>
      <c r="AU223" s="7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7"/>
      <c r="AR224" s="7"/>
      <c r="AS224" s="7"/>
      <c r="AT224" s="7"/>
      <c r="AU224" s="7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7"/>
      <c r="AR225" s="7"/>
      <c r="AS225" s="7"/>
      <c r="AT225" s="7"/>
      <c r="AU225" s="7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7"/>
      <c r="AR226" s="7"/>
      <c r="AS226" s="7"/>
      <c r="AT226" s="7"/>
      <c r="AU226" s="7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7"/>
      <c r="AR227" s="7"/>
      <c r="AS227" s="7"/>
      <c r="AT227" s="7"/>
      <c r="AU227" s="7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7"/>
      <c r="AR228" s="7"/>
      <c r="AS228" s="7"/>
      <c r="AT228" s="7"/>
      <c r="AU228" s="7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7"/>
      <c r="AR229" s="7"/>
      <c r="AS229" s="7"/>
      <c r="AT229" s="7"/>
      <c r="AU229" s="7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7"/>
      <c r="AR230" s="7"/>
      <c r="AS230" s="7"/>
      <c r="AT230" s="7"/>
      <c r="AU230" s="7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7"/>
      <c r="AR231" s="7"/>
      <c r="AS231" s="7"/>
      <c r="AT231" s="7"/>
      <c r="AU231" s="7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7"/>
      <c r="AR232" s="7"/>
      <c r="AS232" s="7"/>
      <c r="AT232" s="7"/>
      <c r="AU232" s="7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7"/>
      <c r="AR233" s="7"/>
      <c r="AS233" s="7"/>
      <c r="AT233" s="7"/>
      <c r="AU233" s="7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7"/>
      <c r="AR234" s="7"/>
      <c r="AS234" s="7"/>
      <c r="AT234" s="7"/>
      <c r="AU234" s="7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7"/>
      <c r="AR235" s="7"/>
      <c r="AS235" s="7"/>
      <c r="AT235" s="7"/>
      <c r="AU235" s="7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7"/>
      <c r="AR236" s="7"/>
      <c r="AS236" s="7"/>
      <c r="AT236" s="7"/>
      <c r="AU236" s="7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7"/>
      <c r="AR237" s="7"/>
      <c r="AS237" s="7"/>
      <c r="AT237" s="7"/>
      <c r="AU237" s="7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7"/>
      <c r="AR238" s="7"/>
      <c r="AS238" s="7"/>
      <c r="AT238" s="7"/>
      <c r="AU238" s="7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7"/>
      <c r="AR239" s="7"/>
      <c r="AS239" s="7"/>
      <c r="AT239" s="7"/>
      <c r="AU239" s="7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7"/>
      <c r="AR240" s="7"/>
      <c r="AS240" s="7"/>
      <c r="AT240" s="7"/>
      <c r="AU240" s="7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7"/>
      <c r="AR241" s="7"/>
      <c r="AS241" s="7"/>
      <c r="AT241" s="7"/>
      <c r="AU241" s="7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7"/>
      <c r="AR242" s="7"/>
      <c r="AS242" s="7"/>
      <c r="AT242" s="7"/>
      <c r="AU242" s="7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7"/>
      <c r="AR243" s="7"/>
      <c r="AS243" s="7"/>
      <c r="AT243" s="7"/>
      <c r="AU243" s="7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7"/>
      <c r="AR244" s="7"/>
      <c r="AS244" s="7"/>
      <c r="AT244" s="7"/>
      <c r="AU244" s="7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7"/>
      <c r="AR245" s="7"/>
      <c r="AS245" s="7"/>
      <c r="AT245" s="7"/>
      <c r="AU245" s="7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7"/>
      <c r="AR246" s="7"/>
      <c r="AS246" s="7"/>
      <c r="AT246" s="7"/>
      <c r="AU246" s="7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7"/>
      <c r="AR247" s="7"/>
      <c r="AS247" s="7"/>
      <c r="AT247" s="7"/>
      <c r="AU247" s="7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7"/>
      <c r="AR248" s="7"/>
      <c r="AS248" s="7"/>
      <c r="AT248" s="7"/>
      <c r="AU248" s="7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7"/>
      <c r="AR249" s="7"/>
      <c r="AS249" s="7"/>
      <c r="AT249" s="7"/>
      <c r="AU249" s="7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7"/>
      <c r="AR250" s="7"/>
      <c r="AS250" s="7"/>
      <c r="AT250" s="7"/>
      <c r="AU250" s="7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7"/>
      <c r="AR251" s="7"/>
      <c r="AS251" s="7"/>
      <c r="AT251" s="7"/>
      <c r="AU251" s="7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7"/>
      <c r="AR252" s="7"/>
      <c r="AS252" s="7"/>
      <c r="AT252" s="7"/>
      <c r="AU252" s="7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7"/>
      <c r="AR253" s="7"/>
      <c r="AS253" s="7"/>
      <c r="AT253" s="7"/>
      <c r="AU253" s="7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7"/>
      <c r="AR254" s="7"/>
      <c r="AS254" s="7"/>
      <c r="AT254" s="7"/>
      <c r="AU254" s="7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7"/>
      <c r="AR255" s="7"/>
      <c r="AS255" s="7"/>
      <c r="AT255" s="7"/>
      <c r="AU255" s="7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7"/>
      <c r="AR256" s="7"/>
      <c r="AS256" s="7"/>
      <c r="AT256" s="7"/>
      <c r="AU256" s="7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7"/>
      <c r="AR257" s="7"/>
      <c r="AS257" s="7"/>
      <c r="AT257" s="7"/>
      <c r="AU257" s="7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7"/>
      <c r="AR258" s="7"/>
      <c r="AS258" s="7"/>
      <c r="AT258" s="7"/>
      <c r="AU258" s="7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7"/>
      <c r="AR259" s="7"/>
      <c r="AS259" s="7"/>
      <c r="AT259" s="7"/>
      <c r="AU259" s="7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7"/>
      <c r="AR260" s="7"/>
      <c r="AS260" s="7"/>
      <c r="AT260" s="7"/>
      <c r="AU260" s="7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7"/>
      <c r="AR261" s="7"/>
      <c r="AS261" s="7"/>
      <c r="AT261" s="7"/>
      <c r="AU261" s="7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7"/>
      <c r="AR262" s="7"/>
      <c r="AS262" s="7"/>
      <c r="AT262" s="7"/>
      <c r="AU262" s="7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7"/>
      <c r="AR263" s="7"/>
      <c r="AS263" s="7"/>
      <c r="AT263" s="7"/>
      <c r="AU263" s="7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7"/>
      <c r="AR264" s="7"/>
      <c r="AS264" s="7"/>
      <c r="AT264" s="7"/>
      <c r="AU264" s="7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7"/>
      <c r="AR265" s="7"/>
      <c r="AS265" s="7"/>
      <c r="AT265" s="7"/>
      <c r="AU265" s="7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7"/>
      <c r="AR266" s="7"/>
      <c r="AS266" s="7"/>
      <c r="AT266" s="7"/>
      <c r="AU266" s="7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7"/>
      <c r="AR267" s="7"/>
      <c r="AS267" s="7"/>
      <c r="AT267" s="7"/>
      <c r="AU267" s="7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7"/>
      <c r="AR268" s="7"/>
      <c r="AS268" s="7"/>
      <c r="AT268" s="7"/>
      <c r="AU268" s="7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7"/>
      <c r="AR269" s="7"/>
      <c r="AS269" s="7"/>
      <c r="AT269" s="7"/>
      <c r="AU269" s="7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7"/>
      <c r="AR270" s="7"/>
      <c r="AS270" s="7"/>
      <c r="AT270" s="7"/>
      <c r="AU270" s="7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7"/>
      <c r="AR271" s="7"/>
      <c r="AS271" s="7"/>
      <c r="AT271" s="7"/>
      <c r="AU271" s="7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7"/>
      <c r="AR272" s="7"/>
      <c r="AS272" s="7"/>
      <c r="AT272" s="7"/>
      <c r="AU272" s="7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7"/>
      <c r="AR273" s="7"/>
      <c r="AS273" s="7"/>
      <c r="AT273" s="7"/>
      <c r="AU273" s="7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7"/>
      <c r="AR274" s="7"/>
      <c r="AS274" s="7"/>
      <c r="AT274" s="7"/>
      <c r="AU274" s="7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7"/>
      <c r="AR275" s="7"/>
      <c r="AS275" s="7"/>
      <c r="AT275" s="7"/>
      <c r="AU275" s="7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7"/>
      <c r="AR276" s="7"/>
      <c r="AS276" s="7"/>
      <c r="AT276" s="7"/>
      <c r="AU276" s="7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7"/>
      <c r="AR277" s="7"/>
      <c r="AS277" s="7"/>
      <c r="AT277" s="7"/>
      <c r="AU277" s="7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7"/>
      <c r="AR278" s="7"/>
      <c r="AS278" s="7"/>
      <c r="AT278" s="7"/>
      <c r="AU278" s="7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7"/>
      <c r="AR279" s="7"/>
      <c r="AS279" s="7"/>
      <c r="AT279" s="7"/>
      <c r="AU279" s="7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7"/>
      <c r="AR280" s="7"/>
      <c r="AS280" s="7"/>
      <c r="AT280" s="7"/>
      <c r="AU280" s="7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7"/>
      <c r="AR281" s="7"/>
      <c r="AS281" s="7"/>
      <c r="AT281" s="7"/>
      <c r="AU281" s="7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7"/>
      <c r="AR282" s="7"/>
      <c r="AS282" s="7"/>
      <c r="AT282" s="7"/>
      <c r="AU282" s="7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7"/>
      <c r="AR283" s="7"/>
      <c r="AS283" s="7"/>
      <c r="AT283" s="7"/>
      <c r="AU283" s="7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7"/>
      <c r="AR284" s="7"/>
      <c r="AS284" s="7"/>
      <c r="AT284" s="7"/>
      <c r="AU284" s="7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7"/>
      <c r="AR285" s="7"/>
      <c r="AS285" s="7"/>
      <c r="AT285" s="7"/>
      <c r="AU285" s="7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7"/>
      <c r="AR286" s="7"/>
      <c r="AS286" s="7"/>
      <c r="AT286" s="7"/>
      <c r="AU286" s="7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7"/>
      <c r="AR287" s="7"/>
      <c r="AS287" s="7"/>
      <c r="AT287" s="7"/>
      <c r="AU287" s="7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7"/>
      <c r="AR288" s="7"/>
      <c r="AS288" s="7"/>
      <c r="AT288" s="7"/>
      <c r="AU288" s="7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7"/>
      <c r="AR289" s="7"/>
      <c r="AS289" s="7"/>
      <c r="AT289" s="7"/>
      <c r="AU289" s="7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7"/>
      <c r="AR290" s="7"/>
      <c r="AS290" s="7"/>
      <c r="AT290" s="7"/>
      <c r="AU290" s="7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7"/>
      <c r="AR291" s="7"/>
      <c r="AS291" s="7"/>
      <c r="AT291" s="7"/>
      <c r="AU291" s="7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7"/>
      <c r="AR292" s="7"/>
      <c r="AS292" s="7"/>
      <c r="AT292" s="7"/>
      <c r="AU292" s="7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7"/>
      <c r="AR293" s="7"/>
      <c r="AS293" s="7"/>
      <c r="AT293" s="7"/>
      <c r="AU293" s="7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7"/>
      <c r="AR294" s="7"/>
      <c r="AS294" s="7"/>
      <c r="AT294" s="7"/>
      <c r="AU294" s="7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7"/>
      <c r="AR295" s="7"/>
      <c r="AS295" s="7"/>
      <c r="AT295" s="7"/>
      <c r="AU295" s="7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7"/>
      <c r="AR296" s="7"/>
      <c r="AS296" s="7"/>
      <c r="AT296" s="7"/>
      <c r="AU296" s="7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7"/>
      <c r="AR297" s="7"/>
      <c r="AS297" s="7"/>
      <c r="AT297" s="7"/>
      <c r="AU297" s="7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7"/>
      <c r="AR298" s="7"/>
      <c r="AS298" s="7"/>
      <c r="AT298" s="7"/>
      <c r="AU298" s="7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7"/>
      <c r="AR299" s="7"/>
      <c r="AS299" s="7"/>
      <c r="AT299" s="7"/>
      <c r="AU299" s="7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7"/>
      <c r="AR300" s="7"/>
      <c r="AS300" s="7"/>
      <c r="AT300" s="7"/>
      <c r="AU300" s="7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7"/>
      <c r="AR301" s="7"/>
      <c r="AS301" s="7"/>
      <c r="AT301" s="7"/>
      <c r="AU301" s="7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7"/>
      <c r="AR302" s="7"/>
      <c r="AS302" s="7"/>
      <c r="AT302" s="7"/>
      <c r="AU302" s="7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7"/>
      <c r="AR303" s="7"/>
      <c r="AS303" s="7"/>
      <c r="AT303" s="7"/>
      <c r="AU303" s="7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7"/>
      <c r="AR304" s="7"/>
      <c r="AS304" s="7"/>
      <c r="AT304" s="7"/>
      <c r="AU304" s="7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7"/>
      <c r="AR305" s="7"/>
      <c r="AS305" s="7"/>
      <c r="AT305" s="7"/>
      <c r="AU305" s="7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7"/>
      <c r="AR306" s="7"/>
      <c r="AS306" s="7"/>
      <c r="AT306" s="7"/>
      <c r="AU306" s="7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7"/>
      <c r="AR307" s="7"/>
      <c r="AS307" s="7"/>
      <c r="AT307" s="7"/>
      <c r="AU307" s="7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7"/>
      <c r="AR308" s="7"/>
      <c r="AS308" s="7"/>
      <c r="AT308" s="7"/>
      <c r="AU308" s="7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7"/>
      <c r="AR309" s="7"/>
      <c r="AS309" s="7"/>
      <c r="AT309" s="7"/>
      <c r="AU309" s="7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7"/>
      <c r="AR310" s="7"/>
      <c r="AS310" s="7"/>
      <c r="AT310" s="7"/>
      <c r="AU310" s="7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7"/>
      <c r="AR311" s="7"/>
      <c r="AS311" s="7"/>
      <c r="AT311" s="7"/>
      <c r="AU311" s="7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7"/>
      <c r="AR312" s="7"/>
      <c r="AS312" s="7"/>
      <c r="AT312" s="7"/>
      <c r="AU312" s="7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7"/>
      <c r="AR313" s="7"/>
      <c r="AS313" s="7"/>
      <c r="AT313" s="7"/>
      <c r="AU313" s="7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7"/>
      <c r="AR314" s="7"/>
      <c r="AS314" s="7"/>
      <c r="AT314" s="7"/>
      <c r="AU314" s="7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7"/>
      <c r="AR315" s="7"/>
      <c r="AS315" s="7"/>
      <c r="AT315" s="7"/>
      <c r="AU315" s="7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7"/>
      <c r="AR316" s="7"/>
      <c r="AS316" s="7"/>
      <c r="AT316" s="7"/>
      <c r="AU316" s="7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7"/>
      <c r="AR317" s="7"/>
      <c r="AS317" s="7"/>
      <c r="AT317" s="7"/>
      <c r="AU317" s="7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7"/>
      <c r="AR318" s="7"/>
      <c r="AS318" s="7"/>
      <c r="AT318" s="7"/>
      <c r="AU318" s="7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7"/>
      <c r="AR319" s="7"/>
      <c r="AS319" s="7"/>
      <c r="AT319" s="7"/>
      <c r="AU319" s="7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7"/>
      <c r="AR320" s="7"/>
      <c r="AS320" s="7"/>
      <c r="AT320" s="7"/>
      <c r="AU320" s="7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7"/>
      <c r="AR321" s="7"/>
      <c r="AS321" s="7"/>
      <c r="AT321" s="7"/>
      <c r="AU321" s="7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7"/>
      <c r="AR322" s="7"/>
      <c r="AS322" s="7"/>
      <c r="AT322" s="7"/>
      <c r="AU322" s="7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7"/>
      <c r="AR323" s="7"/>
      <c r="AS323" s="7"/>
      <c r="AT323" s="7"/>
      <c r="AU323" s="7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7"/>
      <c r="AR324" s="7"/>
      <c r="AS324" s="7"/>
      <c r="AT324" s="7"/>
      <c r="AU324" s="7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7"/>
      <c r="AR325" s="7"/>
      <c r="AS325" s="7"/>
      <c r="AT325" s="7"/>
      <c r="AU325" s="7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7"/>
      <c r="AR326" s="7"/>
      <c r="AS326" s="7"/>
      <c r="AT326" s="7"/>
      <c r="AU326" s="7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7"/>
      <c r="AR327" s="7"/>
      <c r="AS327" s="7"/>
      <c r="AT327" s="7"/>
      <c r="AU327" s="7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7"/>
      <c r="AR328" s="7"/>
      <c r="AS328" s="7"/>
      <c r="AT328" s="7"/>
      <c r="AU328" s="7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7"/>
      <c r="AR329" s="7"/>
      <c r="AS329" s="7"/>
      <c r="AT329" s="7"/>
      <c r="AU329" s="7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7"/>
      <c r="AR330" s="7"/>
      <c r="AS330" s="7"/>
      <c r="AT330" s="7"/>
      <c r="AU330" s="7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7"/>
      <c r="AR331" s="7"/>
      <c r="AS331" s="7"/>
      <c r="AT331" s="7"/>
      <c r="AU331" s="7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7"/>
      <c r="AR332" s="7"/>
      <c r="AS332" s="7"/>
      <c r="AT332" s="7"/>
      <c r="AU332" s="7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7"/>
      <c r="AR333" s="7"/>
      <c r="AS333" s="7"/>
      <c r="AT333" s="7"/>
      <c r="AU333" s="7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7"/>
      <c r="AR334" s="7"/>
      <c r="AS334" s="7"/>
      <c r="AT334" s="7"/>
      <c r="AU334" s="7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7"/>
      <c r="AR335" s="7"/>
      <c r="AS335" s="7"/>
      <c r="AT335" s="7"/>
      <c r="AU335" s="7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7"/>
      <c r="AR336" s="7"/>
      <c r="AS336" s="7"/>
      <c r="AT336" s="7"/>
      <c r="AU336" s="7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7"/>
      <c r="AR337" s="7"/>
      <c r="AS337" s="7"/>
      <c r="AT337" s="7"/>
      <c r="AU337" s="7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7"/>
      <c r="AR338" s="7"/>
      <c r="AS338" s="7"/>
      <c r="AT338" s="7"/>
      <c r="AU338" s="7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7"/>
      <c r="AR339" s="7"/>
      <c r="AS339" s="7"/>
      <c r="AT339" s="7"/>
      <c r="AU339" s="7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7"/>
      <c r="AR340" s="7"/>
      <c r="AS340" s="7"/>
      <c r="AT340" s="7"/>
      <c r="AU340" s="7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7"/>
      <c r="AR341" s="7"/>
      <c r="AS341" s="7"/>
      <c r="AT341" s="7"/>
      <c r="AU341" s="7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7"/>
      <c r="AR342" s="7"/>
      <c r="AS342" s="7"/>
      <c r="AT342" s="7"/>
      <c r="AU342" s="7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7"/>
      <c r="AR343" s="7"/>
      <c r="AS343" s="7"/>
      <c r="AT343" s="7"/>
      <c r="AU343" s="7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7"/>
      <c r="AR344" s="7"/>
      <c r="AS344" s="7"/>
      <c r="AT344" s="7"/>
      <c r="AU344" s="7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7"/>
      <c r="AR345" s="7"/>
      <c r="AS345" s="7"/>
      <c r="AT345" s="7"/>
      <c r="AU345" s="7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7"/>
      <c r="AR346" s="7"/>
      <c r="AS346" s="7"/>
      <c r="AT346" s="7"/>
      <c r="AU346" s="7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7"/>
      <c r="AR347" s="7"/>
      <c r="AS347" s="7"/>
      <c r="AT347" s="7"/>
      <c r="AU347" s="7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7"/>
      <c r="AR348" s="7"/>
      <c r="AS348" s="7"/>
      <c r="AT348" s="7"/>
      <c r="AU348" s="7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7"/>
      <c r="AR349" s="7"/>
      <c r="AS349" s="7"/>
      <c r="AT349" s="7"/>
      <c r="AU349" s="7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7"/>
      <c r="AR350" s="7"/>
      <c r="AS350" s="7"/>
      <c r="AT350" s="7"/>
      <c r="AU350" s="7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7"/>
      <c r="AR351" s="7"/>
      <c r="AS351" s="7"/>
      <c r="AT351" s="7"/>
      <c r="AU351" s="7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7"/>
      <c r="AR352" s="7"/>
      <c r="AS352" s="7"/>
      <c r="AT352" s="7"/>
      <c r="AU352" s="7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7"/>
      <c r="AR353" s="7"/>
      <c r="AS353" s="7"/>
      <c r="AT353" s="7"/>
      <c r="AU353" s="7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7"/>
      <c r="AR354" s="7"/>
      <c r="AS354" s="7"/>
      <c r="AT354" s="7"/>
      <c r="AU354" s="7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7"/>
      <c r="AR355" s="7"/>
      <c r="AS355" s="7"/>
      <c r="AT355" s="7"/>
      <c r="AU355" s="7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7"/>
      <c r="AR356" s="7"/>
      <c r="AS356" s="7"/>
      <c r="AT356" s="7"/>
      <c r="AU356" s="7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7"/>
      <c r="AR357" s="7"/>
      <c r="AS357" s="7"/>
      <c r="AT357" s="7"/>
      <c r="AU357" s="7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7"/>
      <c r="AR358" s="7"/>
      <c r="AS358" s="7"/>
      <c r="AT358" s="7"/>
      <c r="AU358" s="7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7"/>
      <c r="AR359" s="7"/>
      <c r="AS359" s="7"/>
      <c r="AT359" s="7"/>
      <c r="AU359" s="7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7"/>
      <c r="AR360" s="7"/>
      <c r="AS360" s="7"/>
      <c r="AT360" s="7"/>
      <c r="AU360" s="7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7"/>
      <c r="AR361" s="7"/>
      <c r="AS361" s="7"/>
      <c r="AT361" s="7"/>
      <c r="AU361" s="7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7"/>
      <c r="AR362" s="7"/>
      <c r="AS362" s="7"/>
      <c r="AT362" s="7"/>
      <c r="AU362" s="7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7"/>
      <c r="AR363" s="7"/>
      <c r="AS363" s="7"/>
      <c r="AT363" s="7"/>
      <c r="AU363" s="7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7"/>
      <c r="AR364" s="7"/>
      <c r="AS364" s="7"/>
      <c r="AT364" s="7"/>
      <c r="AU364" s="7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7"/>
      <c r="AR365" s="7"/>
      <c r="AS365" s="7"/>
      <c r="AT365" s="7"/>
      <c r="AU365" s="7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7"/>
      <c r="AR366" s="7"/>
      <c r="AS366" s="7"/>
      <c r="AT366" s="7"/>
      <c r="AU366" s="7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7"/>
      <c r="AR367" s="7"/>
      <c r="AS367" s="7"/>
      <c r="AT367" s="7"/>
      <c r="AU367" s="7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7"/>
      <c r="AR368" s="7"/>
      <c r="AS368" s="7"/>
      <c r="AT368" s="7"/>
      <c r="AU368" s="7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7"/>
      <c r="AR369" s="7"/>
      <c r="AS369" s="7"/>
      <c r="AT369" s="7"/>
      <c r="AU369" s="7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7"/>
      <c r="AR370" s="7"/>
      <c r="AS370" s="7"/>
      <c r="AT370" s="7"/>
      <c r="AU370" s="7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7"/>
      <c r="AR371" s="7"/>
      <c r="AS371" s="7"/>
      <c r="AT371" s="7"/>
      <c r="AU371" s="7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7"/>
      <c r="AR372" s="7"/>
      <c r="AS372" s="7"/>
      <c r="AT372" s="7"/>
      <c r="AU372" s="7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7"/>
      <c r="AR373" s="7"/>
      <c r="AS373" s="7"/>
      <c r="AT373" s="7"/>
      <c r="AU373" s="7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7"/>
      <c r="AR374" s="7"/>
      <c r="AS374" s="7"/>
      <c r="AT374" s="7"/>
      <c r="AU374" s="7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7"/>
      <c r="AR375" s="7"/>
      <c r="AS375" s="7"/>
      <c r="AT375" s="7"/>
      <c r="AU375" s="7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7"/>
      <c r="AR376" s="7"/>
      <c r="AS376" s="7"/>
      <c r="AT376" s="7"/>
      <c r="AU376" s="7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7"/>
      <c r="AR377" s="7"/>
      <c r="AS377" s="7"/>
      <c r="AT377" s="7"/>
      <c r="AU377" s="7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7"/>
      <c r="AR378" s="7"/>
      <c r="AS378" s="7"/>
      <c r="AT378" s="7"/>
      <c r="AU378" s="7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7"/>
      <c r="AR379" s="7"/>
      <c r="AS379" s="7"/>
      <c r="AT379" s="7"/>
      <c r="AU379" s="7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7"/>
      <c r="AR380" s="7"/>
      <c r="AS380" s="7"/>
      <c r="AT380" s="7"/>
      <c r="AU380" s="7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7"/>
      <c r="AR381" s="7"/>
      <c r="AS381" s="7"/>
      <c r="AT381" s="7"/>
      <c r="AU381" s="7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7"/>
      <c r="AR382" s="7"/>
      <c r="AS382" s="7"/>
      <c r="AT382" s="7"/>
      <c r="AU382" s="7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7"/>
      <c r="AR383" s="7"/>
      <c r="AS383" s="7"/>
      <c r="AT383" s="7"/>
      <c r="AU383" s="7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7"/>
      <c r="AR384" s="7"/>
      <c r="AS384" s="7"/>
      <c r="AT384" s="7"/>
      <c r="AU384" s="7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7"/>
      <c r="AR385" s="7"/>
      <c r="AS385" s="7"/>
      <c r="AT385" s="7"/>
      <c r="AU385" s="7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7"/>
      <c r="AR386" s="7"/>
      <c r="AS386" s="7"/>
      <c r="AT386" s="7"/>
      <c r="AU386" s="7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7"/>
      <c r="AR387" s="7"/>
      <c r="AS387" s="7"/>
      <c r="AT387" s="7"/>
      <c r="AU387" s="7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7"/>
      <c r="AR388" s="7"/>
      <c r="AS388" s="7"/>
      <c r="AT388" s="7"/>
      <c r="AU388" s="7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7"/>
      <c r="AR389" s="7"/>
      <c r="AS389" s="7"/>
      <c r="AT389" s="7"/>
      <c r="AU389" s="7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7"/>
      <c r="AR390" s="7"/>
      <c r="AS390" s="7"/>
      <c r="AT390" s="7"/>
      <c r="AU390" s="7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7"/>
      <c r="AR391" s="7"/>
      <c r="AS391" s="7"/>
      <c r="AT391" s="7"/>
      <c r="AU391" s="7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7"/>
      <c r="AR392" s="7"/>
      <c r="AS392" s="7"/>
      <c r="AT392" s="7"/>
      <c r="AU392" s="7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7"/>
      <c r="AR393" s="7"/>
      <c r="AS393" s="7"/>
      <c r="AT393" s="7"/>
      <c r="AU393" s="7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7"/>
      <c r="AR394" s="7"/>
      <c r="AS394" s="7"/>
      <c r="AT394" s="7"/>
      <c r="AU394" s="7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7"/>
      <c r="AR395" s="7"/>
      <c r="AS395" s="7"/>
      <c r="AT395" s="7"/>
      <c r="AU395" s="7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7"/>
      <c r="AR396" s="7"/>
      <c r="AS396" s="7"/>
      <c r="AT396" s="7"/>
      <c r="AU396" s="7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7"/>
      <c r="AR397" s="7"/>
      <c r="AS397" s="7"/>
      <c r="AT397" s="7"/>
      <c r="AU397" s="7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7"/>
      <c r="AR398" s="7"/>
      <c r="AS398" s="7"/>
      <c r="AT398" s="7"/>
      <c r="AU398" s="7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7"/>
      <c r="AR399" s="7"/>
      <c r="AS399" s="7"/>
      <c r="AT399" s="7"/>
      <c r="AU399" s="7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7"/>
      <c r="AR400" s="7"/>
      <c r="AS400" s="7"/>
      <c r="AT400" s="7"/>
      <c r="AU400" s="7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7"/>
      <c r="AR401" s="7"/>
      <c r="AS401" s="7"/>
      <c r="AT401" s="7"/>
      <c r="AU401" s="7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7"/>
      <c r="AR402" s="7"/>
      <c r="AS402" s="7"/>
      <c r="AT402" s="7"/>
      <c r="AU402" s="7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7"/>
      <c r="AR403" s="7"/>
      <c r="AS403" s="7"/>
      <c r="AT403" s="7"/>
      <c r="AU403" s="7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7"/>
      <c r="AR404" s="7"/>
      <c r="AS404" s="7"/>
      <c r="AT404" s="7"/>
      <c r="AU404" s="7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7"/>
      <c r="AR405" s="7"/>
      <c r="AS405" s="7"/>
      <c r="AT405" s="7"/>
      <c r="AU405" s="7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7"/>
      <c r="AR406" s="7"/>
      <c r="AS406" s="7"/>
      <c r="AT406" s="7"/>
      <c r="AU406" s="7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7"/>
      <c r="AR407" s="7"/>
      <c r="AS407" s="7"/>
      <c r="AT407" s="7"/>
      <c r="AU407" s="7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7"/>
      <c r="AR408" s="7"/>
      <c r="AS408" s="7"/>
      <c r="AT408" s="7"/>
      <c r="AU408" s="7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7"/>
      <c r="AR409" s="7"/>
      <c r="AS409" s="7"/>
      <c r="AT409" s="7"/>
      <c r="AU409" s="7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7"/>
      <c r="AR410" s="7"/>
      <c r="AS410" s="7"/>
      <c r="AT410" s="7"/>
      <c r="AU410" s="7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7"/>
      <c r="AR411" s="7"/>
      <c r="AS411" s="7"/>
      <c r="AT411" s="7"/>
      <c r="AU411" s="7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7"/>
      <c r="AR412" s="7"/>
      <c r="AS412" s="7"/>
      <c r="AT412" s="7"/>
      <c r="AU412" s="7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7"/>
      <c r="AR413" s="7"/>
      <c r="AS413" s="7"/>
      <c r="AT413" s="7"/>
      <c r="AU413" s="7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7"/>
      <c r="AR414" s="7"/>
      <c r="AS414" s="7"/>
      <c r="AT414" s="7"/>
      <c r="AU414" s="7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7"/>
      <c r="AR415" s="7"/>
      <c r="AS415" s="7"/>
      <c r="AT415" s="7"/>
      <c r="AU415" s="7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7"/>
      <c r="AR416" s="7"/>
      <c r="AS416" s="7"/>
      <c r="AT416" s="7"/>
      <c r="AU416" s="7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7"/>
      <c r="AR417" s="7"/>
      <c r="AS417" s="7"/>
      <c r="AT417" s="7"/>
      <c r="AU417" s="7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7"/>
      <c r="AR418" s="7"/>
      <c r="AS418" s="7"/>
      <c r="AT418" s="7"/>
      <c r="AU418" s="7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7"/>
      <c r="AR419" s="7"/>
      <c r="AS419" s="7"/>
      <c r="AT419" s="7"/>
      <c r="AU419" s="7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7"/>
      <c r="AR420" s="7"/>
      <c r="AS420" s="7"/>
      <c r="AT420" s="7"/>
      <c r="AU420" s="7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7"/>
      <c r="AR421" s="7"/>
      <c r="AS421" s="7"/>
      <c r="AT421" s="7"/>
      <c r="AU421" s="7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7"/>
      <c r="AR422" s="7"/>
      <c r="AS422" s="7"/>
      <c r="AT422" s="7"/>
      <c r="AU422" s="7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7"/>
      <c r="AR423" s="7"/>
      <c r="AS423" s="7"/>
      <c r="AT423" s="7"/>
      <c r="AU423" s="7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7"/>
      <c r="AR424" s="7"/>
      <c r="AS424" s="7"/>
      <c r="AT424" s="7"/>
      <c r="AU424" s="7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7"/>
      <c r="AR425" s="7"/>
      <c r="AS425" s="7"/>
      <c r="AT425" s="7"/>
      <c r="AU425" s="7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7"/>
      <c r="AR426" s="7"/>
      <c r="AS426" s="7"/>
      <c r="AT426" s="7"/>
      <c r="AU426" s="7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7"/>
      <c r="AR427" s="7"/>
      <c r="AS427" s="7"/>
      <c r="AT427" s="7"/>
      <c r="AU427" s="7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7"/>
      <c r="AR428" s="7"/>
      <c r="AS428" s="7"/>
      <c r="AT428" s="7"/>
      <c r="AU428" s="7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7"/>
      <c r="AR429" s="7"/>
      <c r="AS429" s="7"/>
      <c r="AT429" s="7"/>
      <c r="AU429" s="7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7"/>
      <c r="AR430" s="7"/>
      <c r="AS430" s="7"/>
      <c r="AT430" s="7"/>
      <c r="AU430" s="7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7"/>
      <c r="AR431" s="7"/>
      <c r="AS431" s="7"/>
      <c r="AT431" s="7"/>
      <c r="AU431" s="7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7"/>
      <c r="AR432" s="7"/>
      <c r="AS432" s="7"/>
      <c r="AT432" s="7"/>
      <c r="AU432" s="7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7"/>
      <c r="AR433" s="7"/>
      <c r="AS433" s="7"/>
      <c r="AT433" s="7"/>
      <c r="AU433" s="7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7"/>
      <c r="AR434" s="7"/>
      <c r="AS434" s="7"/>
      <c r="AT434" s="7"/>
      <c r="AU434" s="7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7"/>
      <c r="AR435" s="7"/>
      <c r="AS435" s="7"/>
      <c r="AT435" s="7"/>
      <c r="AU435" s="7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7"/>
      <c r="AR436" s="7"/>
      <c r="AS436" s="7"/>
      <c r="AT436" s="7"/>
      <c r="AU436" s="7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7"/>
      <c r="AR437" s="7"/>
      <c r="AS437" s="7"/>
      <c r="AT437" s="7"/>
      <c r="AU437" s="7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7"/>
      <c r="AR438" s="7"/>
      <c r="AS438" s="7"/>
      <c r="AT438" s="7"/>
      <c r="AU438" s="7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7"/>
      <c r="AR439" s="7"/>
      <c r="AS439" s="7"/>
      <c r="AT439" s="7"/>
      <c r="AU439" s="7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7"/>
      <c r="AR440" s="7"/>
      <c r="AS440" s="7"/>
      <c r="AT440" s="7"/>
      <c r="AU440" s="7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7"/>
      <c r="AR441" s="7"/>
      <c r="AS441" s="7"/>
      <c r="AT441" s="7"/>
      <c r="AU441" s="7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7"/>
      <c r="AR442" s="7"/>
      <c r="AS442" s="7"/>
      <c r="AT442" s="7"/>
      <c r="AU442" s="7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7"/>
      <c r="AR443" s="7"/>
      <c r="AS443" s="7"/>
      <c r="AT443" s="7"/>
      <c r="AU443" s="7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7"/>
      <c r="AR444" s="7"/>
      <c r="AS444" s="7"/>
      <c r="AT444" s="7"/>
      <c r="AU444" s="7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7"/>
      <c r="AR445" s="7"/>
      <c r="AS445" s="7"/>
      <c r="AT445" s="7"/>
      <c r="AU445" s="7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7"/>
      <c r="AR446" s="7"/>
      <c r="AS446" s="7"/>
      <c r="AT446" s="7"/>
      <c r="AU446" s="7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7"/>
      <c r="AR447" s="7"/>
      <c r="AS447" s="7"/>
      <c r="AT447" s="7"/>
      <c r="AU447" s="7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7"/>
      <c r="AR448" s="7"/>
      <c r="AS448" s="7"/>
      <c r="AT448" s="7"/>
      <c r="AU448" s="7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7"/>
      <c r="AR449" s="7"/>
      <c r="AS449" s="7"/>
      <c r="AT449" s="7"/>
      <c r="AU449" s="7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7"/>
      <c r="AR450" s="7"/>
      <c r="AS450" s="7"/>
      <c r="AT450" s="7"/>
      <c r="AU450" s="7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7"/>
      <c r="AR451" s="7"/>
      <c r="AS451" s="7"/>
      <c r="AT451" s="7"/>
      <c r="AU451" s="7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7"/>
      <c r="AR452" s="7"/>
      <c r="AS452" s="7"/>
      <c r="AT452" s="7"/>
      <c r="AU452" s="7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7"/>
      <c r="AR453" s="7"/>
      <c r="AS453" s="7"/>
      <c r="AT453" s="7"/>
      <c r="AU453" s="7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7"/>
      <c r="AR454" s="7"/>
      <c r="AS454" s="7"/>
      <c r="AT454" s="7"/>
      <c r="AU454" s="7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7"/>
      <c r="AR455" s="7"/>
      <c r="AS455" s="7"/>
      <c r="AT455" s="7"/>
      <c r="AU455" s="7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7"/>
      <c r="AR456" s="7"/>
      <c r="AS456" s="7"/>
      <c r="AT456" s="7"/>
      <c r="AU456" s="7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7"/>
      <c r="AR457" s="7"/>
      <c r="AS457" s="7"/>
      <c r="AT457" s="7"/>
      <c r="AU457" s="7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7"/>
      <c r="AR458" s="7"/>
      <c r="AS458" s="7"/>
      <c r="AT458" s="7"/>
      <c r="AU458" s="7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7"/>
      <c r="AR459" s="7"/>
      <c r="AS459" s="7"/>
      <c r="AT459" s="7"/>
      <c r="AU459" s="7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7"/>
      <c r="AR460" s="7"/>
      <c r="AS460" s="7"/>
      <c r="AT460" s="7"/>
      <c r="AU460" s="7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7"/>
      <c r="AR461" s="7"/>
      <c r="AS461" s="7"/>
      <c r="AT461" s="7"/>
      <c r="AU461" s="7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7"/>
      <c r="AR462" s="7"/>
      <c r="AS462" s="7"/>
      <c r="AT462" s="7"/>
      <c r="AU462" s="7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7"/>
      <c r="AR463" s="7"/>
      <c r="AS463" s="7"/>
      <c r="AT463" s="7"/>
      <c r="AU463" s="7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7"/>
      <c r="AR464" s="7"/>
      <c r="AS464" s="7"/>
      <c r="AT464" s="7"/>
      <c r="AU464" s="7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7"/>
      <c r="AR465" s="7"/>
      <c r="AS465" s="7"/>
      <c r="AT465" s="7"/>
      <c r="AU465" s="7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7"/>
      <c r="AR466" s="7"/>
      <c r="AS466" s="7"/>
      <c r="AT466" s="7"/>
      <c r="AU466" s="7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7"/>
      <c r="AR467" s="7"/>
      <c r="AS467" s="7"/>
      <c r="AT467" s="7"/>
      <c r="AU467" s="7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7"/>
      <c r="AR468" s="7"/>
      <c r="AS468" s="7"/>
      <c r="AT468" s="7"/>
      <c r="AU468" s="7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7"/>
      <c r="AR469" s="7"/>
      <c r="AS469" s="7"/>
      <c r="AT469" s="7"/>
      <c r="AU469" s="7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7"/>
      <c r="AR470" s="7"/>
      <c r="AS470" s="7"/>
      <c r="AT470" s="7"/>
      <c r="AU470" s="7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7"/>
      <c r="AR471" s="7"/>
      <c r="AS471" s="7"/>
      <c r="AT471" s="7"/>
      <c r="AU471" s="7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7"/>
      <c r="AR472" s="7"/>
      <c r="AS472" s="7"/>
      <c r="AT472" s="7"/>
      <c r="AU472" s="7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7"/>
      <c r="AR473" s="7"/>
      <c r="AS473" s="7"/>
      <c r="AT473" s="7"/>
      <c r="AU473" s="7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7"/>
      <c r="AR474" s="7"/>
      <c r="AS474" s="7"/>
      <c r="AT474" s="7"/>
      <c r="AU474" s="7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7"/>
      <c r="AR475" s="7"/>
      <c r="AS475" s="7"/>
      <c r="AT475" s="7"/>
      <c r="AU475" s="7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7"/>
      <c r="AR476" s="7"/>
      <c r="AS476" s="7"/>
      <c r="AT476" s="7"/>
      <c r="AU476" s="7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7"/>
      <c r="AR477" s="7"/>
      <c r="AS477" s="7"/>
      <c r="AT477" s="7"/>
      <c r="AU477" s="7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7"/>
      <c r="AR478" s="7"/>
      <c r="AS478" s="7"/>
      <c r="AT478" s="7"/>
      <c r="AU478" s="7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7"/>
      <c r="AR479" s="7"/>
      <c r="AS479" s="7"/>
      <c r="AT479" s="7"/>
      <c r="AU479" s="7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7"/>
      <c r="AR480" s="7"/>
      <c r="AS480" s="7"/>
      <c r="AT480" s="7"/>
      <c r="AU480" s="7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7"/>
      <c r="AR481" s="7"/>
      <c r="AS481" s="7"/>
      <c r="AT481" s="7"/>
      <c r="AU481" s="7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7"/>
      <c r="AR482" s="7"/>
      <c r="AS482" s="7"/>
      <c r="AT482" s="7"/>
      <c r="AU482" s="7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7"/>
      <c r="AR483" s="7"/>
      <c r="AS483" s="7"/>
      <c r="AT483" s="7"/>
      <c r="AU483" s="7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7"/>
      <c r="AR484" s="7"/>
      <c r="AS484" s="7"/>
      <c r="AT484" s="7"/>
      <c r="AU484" s="7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7"/>
      <c r="AR485" s="7"/>
      <c r="AS485" s="7"/>
      <c r="AT485" s="7"/>
      <c r="AU485" s="7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7"/>
      <c r="AR486" s="7"/>
      <c r="AS486" s="7"/>
      <c r="AT486" s="7"/>
      <c r="AU486" s="7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7"/>
      <c r="AR487" s="7"/>
      <c r="AS487" s="7"/>
      <c r="AT487" s="7"/>
      <c r="AU487" s="7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7"/>
      <c r="AR488" s="7"/>
      <c r="AS488" s="7"/>
      <c r="AT488" s="7"/>
      <c r="AU488" s="7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7"/>
      <c r="AR489" s="7"/>
      <c r="AS489" s="7"/>
      <c r="AT489" s="7"/>
      <c r="AU489" s="7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7"/>
      <c r="AR490" s="7"/>
      <c r="AS490" s="7"/>
      <c r="AT490" s="7"/>
      <c r="AU490" s="7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7"/>
      <c r="AR491" s="7"/>
      <c r="AS491" s="7"/>
      <c r="AT491" s="7"/>
      <c r="AU491" s="7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7"/>
      <c r="AR492" s="7"/>
      <c r="AS492" s="7"/>
      <c r="AT492" s="7"/>
      <c r="AU492" s="7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7"/>
      <c r="AR493" s="7"/>
      <c r="AS493" s="7"/>
      <c r="AT493" s="7"/>
      <c r="AU493" s="7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7"/>
      <c r="AR494" s="7"/>
      <c r="AS494" s="7"/>
      <c r="AT494" s="7"/>
      <c r="AU494" s="7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7"/>
      <c r="AR495" s="7"/>
      <c r="AS495" s="7"/>
      <c r="AT495" s="7"/>
      <c r="AU495" s="7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7"/>
      <c r="AR496" s="7"/>
      <c r="AS496" s="7"/>
      <c r="AT496" s="7"/>
      <c r="AU496" s="7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7"/>
      <c r="AR497" s="7"/>
      <c r="AS497" s="7"/>
      <c r="AT497" s="7"/>
      <c r="AU497" s="7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7"/>
      <c r="AR498" s="7"/>
      <c r="AS498" s="7"/>
      <c r="AT498" s="7"/>
      <c r="AU498" s="7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7"/>
      <c r="AR499" s="7"/>
      <c r="AS499" s="7"/>
      <c r="AT499" s="7"/>
      <c r="AU499" s="7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7"/>
      <c r="AR500" s="7"/>
      <c r="AS500" s="7"/>
      <c r="AT500" s="7"/>
      <c r="AU500" s="7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7"/>
      <c r="AR501" s="7"/>
      <c r="AS501" s="7"/>
      <c r="AT501" s="7"/>
      <c r="AU501" s="7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7"/>
      <c r="AR502" s="7"/>
      <c r="AS502" s="7"/>
      <c r="AT502" s="7"/>
      <c r="AU502" s="7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7"/>
      <c r="AR503" s="7"/>
      <c r="AS503" s="7"/>
      <c r="AT503" s="7"/>
      <c r="AU503" s="7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7"/>
      <c r="AR504" s="7"/>
      <c r="AS504" s="7"/>
      <c r="AT504" s="7"/>
      <c r="AU504" s="7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7"/>
      <c r="AR505" s="7"/>
      <c r="AS505" s="7"/>
      <c r="AT505" s="7"/>
      <c r="AU505" s="7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7"/>
      <c r="AR506" s="7"/>
      <c r="AS506" s="7"/>
      <c r="AT506" s="7"/>
      <c r="AU506" s="7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7"/>
      <c r="AR507" s="7"/>
      <c r="AS507" s="7"/>
      <c r="AT507" s="7"/>
      <c r="AU507" s="7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7"/>
      <c r="AR508" s="7"/>
      <c r="AS508" s="7"/>
      <c r="AT508" s="7"/>
      <c r="AU508" s="7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7"/>
      <c r="AR509" s="7"/>
      <c r="AS509" s="7"/>
      <c r="AT509" s="7"/>
      <c r="AU509" s="7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7"/>
      <c r="AR510" s="7"/>
      <c r="AS510" s="7"/>
      <c r="AT510" s="7"/>
      <c r="AU510" s="7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7"/>
      <c r="AR511" s="7"/>
      <c r="AS511" s="7"/>
      <c r="AT511" s="7"/>
      <c r="AU511" s="7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7"/>
      <c r="AR512" s="7"/>
      <c r="AS512" s="7"/>
      <c r="AT512" s="7"/>
      <c r="AU512" s="7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7"/>
      <c r="AR513" s="7"/>
      <c r="AS513" s="7"/>
      <c r="AT513" s="7"/>
      <c r="AU513" s="7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7"/>
      <c r="AR514" s="7"/>
      <c r="AS514" s="7"/>
      <c r="AT514" s="7"/>
      <c r="AU514" s="7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7"/>
      <c r="AR515" s="7"/>
      <c r="AS515" s="7"/>
      <c r="AT515" s="7"/>
      <c r="AU515" s="7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7"/>
      <c r="AR516" s="7"/>
      <c r="AS516" s="7"/>
      <c r="AT516" s="7"/>
      <c r="AU516" s="7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7"/>
      <c r="AR517" s="7"/>
      <c r="AS517" s="7"/>
      <c r="AT517" s="7"/>
      <c r="AU517" s="7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7"/>
      <c r="AR518" s="7"/>
      <c r="AS518" s="7"/>
      <c r="AT518" s="7"/>
      <c r="AU518" s="7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7"/>
      <c r="AR519" s="7"/>
      <c r="AS519" s="7"/>
      <c r="AT519" s="7"/>
      <c r="AU519" s="7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7"/>
      <c r="AR520" s="7"/>
      <c r="AS520" s="7"/>
      <c r="AT520" s="7"/>
      <c r="AU520" s="7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7"/>
      <c r="AR521" s="7"/>
      <c r="AS521" s="7"/>
      <c r="AT521" s="7"/>
      <c r="AU521" s="7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7"/>
      <c r="AR522" s="7"/>
      <c r="AS522" s="7"/>
      <c r="AT522" s="7"/>
      <c r="AU522" s="7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7"/>
      <c r="AR523" s="7"/>
      <c r="AS523" s="7"/>
      <c r="AT523" s="7"/>
      <c r="AU523" s="7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7"/>
      <c r="AR524" s="7"/>
      <c r="AS524" s="7"/>
      <c r="AT524" s="7"/>
      <c r="AU524" s="7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7"/>
      <c r="AR525" s="7"/>
      <c r="AS525" s="7"/>
      <c r="AT525" s="7"/>
      <c r="AU525" s="7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7"/>
      <c r="AR526" s="7"/>
      <c r="AS526" s="7"/>
      <c r="AT526" s="7"/>
      <c r="AU526" s="7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7"/>
      <c r="AR527" s="7"/>
      <c r="AS527" s="7"/>
      <c r="AT527" s="7"/>
      <c r="AU527" s="7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7"/>
      <c r="AR528" s="7"/>
      <c r="AS528" s="7"/>
      <c r="AT528" s="7"/>
      <c r="AU528" s="7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7"/>
      <c r="AR529" s="7"/>
      <c r="AS529" s="7"/>
      <c r="AT529" s="7"/>
      <c r="AU529" s="7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7"/>
      <c r="AR530" s="7"/>
      <c r="AS530" s="7"/>
      <c r="AT530" s="7"/>
      <c r="AU530" s="7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7"/>
      <c r="AR531" s="7"/>
      <c r="AS531" s="7"/>
      <c r="AT531" s="7"/>
      <c r="AU531" s="7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7"/>
      <c r="AR532" s="7"/>
      <c r="AS532" s="7"/>
      <c r="AT532" s="7"/>
      <c r="AU532" s="7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7"/>
      <c r="AR533" s="7"/>
      <c r="AS533" s="7"/>
      <c r="AT533" s="7"/>
      <c r="AU533" s="7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7"/>
      <c r="AR534" s="7"/>
      <c r="AS534" s="7"/>
      <c r="AT534" s="7"/>
      <c r="AU534" s="7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7"/>
      <c r="AR535" s="7"/>
      <c r="AS535" s="7"/>
      <c r="AT535" s="7"/>
      <c r="AU535" s="7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7"/>
      <c r="AR536" s="7"/>
      <c r="AS536" s="7"/>
      <c r="AT536" s="7"/>
      <c r="AU536" s="7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7"/>
      <c r="AR537" s="7"/>
      <c r="AS537" s="7"/>
      <c r="AT537" s="7"/>
      <c r="AU537" s="7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7"/>
      <c r="AR538" s="7"/>
      <c r="AS538" s="7"/>
      <c r="AT538" s="7"/>
      <c r="AU538" s="7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7"/>
      <c r="AR539" s="7"/>
      <c r="AS539" s="7"/>
      <c r="AT539" s="7"/>
      <c r="AU539" s="7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7"/>
      <c r="AR540" s="7"/>
      <c r="AS540" s="7"/>
      <c r="AT540" s="7"/>
      <c r="AU540" s="7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7"/>
      <c r="AR541" s="7"/>
      <c r="AS541" s="7"/>
      <c r="AT541" s="7"/>
      <c r="AU541" s="7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7"/>
      <c r="AR542" s="7"/>
      <c r="AS542" s="7"/>
      <c r="AT542" s="7"/>
      <c r="AU542" s="7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7"/>
      <c r="AR543" s="7"/>
      <c r="AS543" s="7"/>
      <c r="AT543" s="7"/>
      <c r="AU543" s="7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7"/>
      <c r="AR544" s="7"/>
      <c r="AS544" s="7"/>
      <c r="AT544" s="7"/>
      <c r="AU544" s="7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7"/>
      <c r="AR545" s="7"/>
      <c r="AS545" s="7"/>
      <c r="AT545" s="7"/>
      <c r="AU545" s="7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7"/>
      <c r="AR546" s="7"/>
      <c r="AS546" s="7"/>
      <c r="AT546" s="7"/>
      <c r="AU546" s="7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7"/>
      <c r="AR547" s="7"/>
      <c r="AS547" s="7"/>
      <c r="AT547" s="7"/>
      <c r="AU547" s="7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7"/>
      <c r="AR548" s="7"/>
      <c r="AS548" s="7"/>
      <c r="AT548" s="7"/>
      <c r="AU548" s="7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7"/>
      <c r="AR549" s="7"/>
      <c r="AS549" s="7"/>
      <c r="AT549" s="7"/>
      <c r="AU549" s="7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7"/>
      <c r="AR550" s="7"/>
      <c r="AS550" s="7"/>
      <c r="AT550" s="7"/>
      <c r="AU550" s="7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7"/>
      <c r="AR551" s="7"/>
      <c r="AS551" s="7"/>
      <c r="AT551" s="7"/>
      <c r="AU551" s="7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7"/>
      <c r="AR552" s="7"/>
      <c r="AS552" s="7"/>
      <c r="AT552" s="7"/>
      <c r="AU552" s="7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7"/>
      <c r="AR553" s="7"/>
      <c r="AS553" s="7"/>
      <c r="AT553" s="7"/>
      <c r="AU553" s="7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7"/>
      <c r="AR554" s="7"/>
      <c r="AS554" s="7"/>
      <c r="AT554" s="7"/>
      <c r="AU554" s="7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7"/>
      <c r="AR555" s="7"/>
      <c r="AS555" s="7"/>
      <c r="AT555" s="7"/>
      <c r="AU555" s="7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7"/>
      <c r="AR556" s="7"/>
      <c r="AS556" s="7"/>
      <c r="AT556" s="7"/>
      <c r="AU556" s="7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7"/>
      <c r="AR557" s="7"/>
      <c r="AS557" s="7"/>
      <c r="AT557" s="7"/>
      <c r="AU557" s="7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7"/>
      <c r="AR558" s="7"/>
      <c r="AS558" s="7"/>
      <c r="AT558" s="7"/>
      <c r="AU558" s="7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7"/>
      <c r="AR559" s="7"/>
      <c r="AS559" s="7"/>
      <c r="AT559" s="7"/>
      <c r="AU559" s="7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7"/>
      <c r="AR560" s="7"/>
      <c r="AS560" s="7"/>
      <c r="AT560" s="7"/>
      <c r="AU560" s="7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7"/>
      <c r="AR561" s="7"/>
      <c r="AS561" s="7"/>
      <c r="AT561" s="7"/>
      <c r="AU561" s="7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7"/>
      <c r="AR562" s="7"/>
      <c r="AS562" s="7"/>
      <c r="AT562" s="7"/>
      <c r="AU562" s="7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7"/>
      <c r="AR563" s="7"/>
      <c r="AS563" s="7"/>
      <c r="AT563" s="7"/>
      <c r="AU563" s="7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7"/>
      <c r="AR564" s="7"/>
      <c r="AS564" s="7"/>
      <c r="AT564" s="7"/>
      <c r="AU564" s="7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7"/>
      <c r="AR565" s="7"/>
      <c r="AS565" s="7"/>
      <c r="AT565" s="7"/>
      <c r="AU565" s="7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7"/>
      <c r="AR566" s="7"/>
      <c r="AS566" s="7"/>
      <c r="AT566" s="7"/>
      <c r="AU566" s="7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7"/>
      <c r="AR567" s="7"/>
      <c r="AS567" s="7"/>
      <c r="AT567" s="7"/>
      <c r="AU567" s="7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7"/>
      <c r="AR568" s="7"/>
      <c r="AS568" s="7"/>
      <c r="AT568" s="7"/>
      <c r="AU568" s="7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7"/>
      <c r="AR569" s="7"/>
      <c r="AS569" s="7"/>
      <c r="AT569" s="7"/>
      <c r="AU569" s="7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7"/>
      <c r="AR570" s="7"/>
      <c r="AS570" s="7"/>
      <c r="AT570" s="7"/>
      <c r="AU570" s="7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7"/>
      <c r="AR571" s="7"/>
      <c r="AS571" s="7"/>
      <c r="AT571" s="7"/>
      <c r="AU571" s="7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7"/>
      <c r="AR572" s="7"/>
      <c r="AS572" s="7"/>
      <c r="AT572" s="7"/>
      <c r="AU572" s="7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7"/>
      <c r="AR573" s="7"/>
      <c r="AS573" s="7"/>
      <c r="AT573" s="7"/>
      <c r="AU573" s="7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7"/>
      <c r="AR574" s="7"/>
      <c r="AS574" s="7"/>
      <c r="AT574" s="7"/>
      <c r="AU574" s="7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7"/>
      <c r="AR575" s="7"/>
      <c r="AS575" s="7"/>
      <c r="AT575" s="7"/>
      <c r="AU575" s="7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7"/>
      <c r="AR576" s="7"/>
      <c r="AS576" s="7"/>
      <c r="AT576" s="7"/>
      <c r="AU576" s="7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7"/>
      <c r="AR577" s="7"/>
      <c r="AS577" s="7"/>
      <c r="AT577" s="7"/>
      <c r="AU577" s="7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7"/>
      <c r="AR578" s="7"/>
      <c r="AS578" s="7"/>
      <c r="AT578" s="7"/>
      <c r="AU578" s="7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7"/>
      <c r="AR579" s="7"/>
      <c r="AS579" s="7"/>
      <c r="AT579" s="7"/>
      <c r="AU579" s="7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7"/>
      <c r="AR580" s="7"/>
      <c r="AS580" s="7"/>
      <c r="AT580" s="7"/>
      <c r="AU580" s="7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7"/>
      <c r="AR581" s="7"/>
      <c r="AS581" s="7"/>
      <c r="AT581" s="7"/>
      <c r="AU581" s="7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7"/>
      <c r="AR582" s="7"/>
      <c r="AS582" s="7"/>
      <c r="AT582" s="7"/>
      <c r="AU582" s="7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7"/>
      <c r="AR583" s="7"/>
      <c r="AS583" s="7"/>
      <c r="AT583" s="7"/>
      <c r="AU583" s="7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7"/>
      <c r="AR584" s="7"/>
      <c r="AS584" s="7"/>
      <c r="AT584" s="7"/>
      <c r="AU584" s="7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7"/>
      <c r="AR585" s="7"/>
      <c r="AS585" s="7"/>
      <c r="AT585" s="7"/>
      <c r="AU585" s="7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7"/>
      <c r="AR586" s="7"/>
      <c r="AS586" s="7"/>
      <c r="AT586" s="7"/>
      <c r="AU586" s="7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7"/>
      <c r="AR587" s="7"/>
      <c r="AS587" s="7"/>
      <c r="AT587" s="7"/>
      <c r="AU587" s="7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7"/>
      <c r="AR588" s="7"/>
      <c r="AS588" s="7"/>
      <c r="AT588" s="7"/>
      <c r="AU588" s="7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7"/>
      <c r="AR589" s="7"/>
      <c r="AS589" s="7"/>
      <c r="AT589" s="7"/>
      <c r="AU589" s="7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7"/>
      <c r="AR590" s="7"/>
      <c r="AS590" s="7"/>
      <c r="AT590" s="7"/>
      <c r="AU590" s="7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7"/>
      <c r="AR591" s="7"/>
      <c r="AS591" s="7"/>
      <c r="AT591" s="7"/>
      <c r="AU591" s="7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7"/>
      <c r="AR592" s="7"/>
      <c r="AS592" s="7"/>
      <c r="AT592" s="7"/>
      <c r="AU592" s="7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7"/>
      <c r="AR593" s="7"/>
      <c r="AS593" s="7"/>
      <c r="AT593" s="7"/>
      <c r="AU593" s="7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7"/>
      <c r="AR594" s="7"/>
      <c r="AS594" s="7"/>
      <c r="AT594" s="7"/>
      <c r="AU594" s="7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7"/>
      <c r="AR595" s="7"/>
      <c r="AS595" s="7"/>
      <c r="AT595" s="7"/>
      <c r="AU595" s="7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7"/>
      <c r="AR596" s="7"/>
      <c r="AS596" s="7"/>
      <c r="AT596" s="7"/>
      <c r="AU596" s="7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7"/>
      <c r="AR597" s="7"/>
      <c r="AS597" s="7"/>
      <c r="AT597" s="7"/>
      <c r="AU597" s="7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7"/>
      <c r="AR598" s="7"/>
      <c r="AS598" s="7"/>
      <c r="AT598" s="7"/>
      <c r="AU598" s="7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7"/>
      <c r="AR599" s="7"/>
      <c r="AS599" s="7"/>
      <c r="AT599" s="7"/>
      <c r="AU599" s="7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7"/>
      <c r="AR600" s="7"/>
      <c r="AS600" s="7"/>
      <c r="AT600" s="7"/>
      <c r="AU600" s="7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7"/>
      <c r="AR601" s="7"/>
      <c r="AS601" s="7"/>
      <c r="AT601" s="7"/>
      <c r="AU601" s="7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7"/>
      <c r="AR602" s="7"/>
      <c r="AS602" s="7"/>
      <c r="AT602" s="7"/>
      <c r="AU602" s="7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7"/>
      <c r="AR603" s="7"/>
      <c r="AS603" s="7"/>
      <c r="AT603" s="7"/>
      <c r="AU603" s="7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7"/>
      <c r="AR604" s="7"/>
      <c r="AS604" s="7"/>
      <c r="AT604" s="7"/>
      <c r="AU604" s="7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7"/>
      <c r="AR605" s="7"/>
      <c r="AS605" s="7"/>
      <c r="AT605" s="7"/>
      <c r="AU605" s="7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7"/>
      <c r="AR606" s="7"/>
      <c r="AS606" s="7"/>
      <c r="AT606" s="7"/>
      <c r="AU606" s="7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7"/>
      <c r="AR607" s="7"/>
      <c r="AS607" s="7"/>
      <c r="AT607" s="7"/>
      <c r="AU607" s="7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7"/>
      <c r="AR608" s="7"/>
      <c r="AS608" s="7"/>
      <c r="AT608" s="7"/>
      <c r="AU608" s="7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7"/>
      <c r="AR609" s="7"/>
      <c r="AS609" s="7"/>
      <c r="AT609" s="7"/>
      <c r="AU609" s="7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7"/>
      <c r="AR610" s="7"/>
      <c r="AS610" s="7"/>
      <c r="AT610" s="7"/>
      <c r="AU610" s="7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7"/>
      <c r="AR611" s="7"/>
      <c r="AS611" s="7"/>
      <c r="AT611" s="7"/>
      <c r="AU611" s="7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7"/>
      <c r="AR612" s="7"/>
      <c r="AS612" s="7"/>
      <c r="AT612" s="7"/>
      <c r="AU612" s="7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7"/>
      <c r="AR613" s="7"/>
      <c r="AS613" s="7"/>
      <c r="AT613" s="7"/>
      <c r="AU613" s="7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7"/>
      <c r="AR614" s="7"/>
      <c r="AS614" s="7"/>
      <c r="AT614" s="7"/>
      <c r="AU614" s="7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7"/>
      <c r="AR615" s="7"/>
      <c r="AS615" s="7"/>
      <c r="AT615" s="7"/>
      <c r="AU615" s="7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7"/>
      <c r="AR616" s="7"/>
      <c r="AS616" s="7"/>
      <c r="AT616" s="7"/>
      <c r="AU616" s="7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7"/>
      <c r="AR617" s="7"/>
      <c r="AS617" s="7"/>
      <c r="AT617" s="7"/>
      <c r="AU617" s="7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7"/>
      <c r="AR618" s="7"/>
      <c r="AS618" s="7"/>
      <c r="AT618" s="7"/>
      <c r="AU618" s="7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7"/>
      <c r="AR619" s="7"/>
      <c r="AS619" s="7"/>
      <c r="AT619" s="7"/>
      <c r="AU619" s="7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7"/>
      <c r="AR620" s="7"/>
      <c r="AS620" s="7"/>
      <c r="AT620" s="7"/>
      <c r="AU620" s="7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7"/>
      <c r="AR621" s="7"/>
      <c r="AS621" s="7"/>
      <c r="AT621" s="7"/>
      <c r="AU621" s="7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7"/>
      <c r="AR622" s="7"/>
      <c r="AS622" s="7"/>
      <c r="AT622" s="7"/>
      <c r="AU622" s="7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7"/>
      <c r="AR623" s="7"/>
      <c r="AS623" s="7"/>
      <c r="AT623" s="7"/>
      <c r="AU623" s="7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7"/>
      <c r="AR624" s="7"/>
      <c r="AS624" s="7"/>
      <c r="AT624" s="7"/>
      <c r="AU624" s="7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7"/>
      <c r="AR625" s="7"/>
      <c r="AS625" s="7"/>
      <c r="AT625" s="7"/>
      <c r="AU625" s="7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7"/>
      <c r="AR626" s="7"/>
      <c r="AS626" s="7"/>
      <c r="AT626" s="7"/>
      <c r="AU626" s="7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7"/>
      <c r="AR627" s="7"/>
      <c r="AS627" s="7"/>
      <c r="AT627" s="7"/>
      <c r="AU627" s="7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7"/>
      <c r="AR628" s="7"/>
      <c r="AS628" s="7"/>
      <c r="AT628" s="7"/>
      <c r="AU628" s="7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7"/>
      <c r="AR629" s="7"/>
      <c r="AS629" s="7"/>
      <c r="AT629" s="7"/>
      <c r="AU629" s="7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7"/>
      <c r="AR630" s="7"/>
      <c r="AS630" s="7"/>
      <c r="AT630" s="7"/>
      <c r="AU630" s="7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7"/>
      <c r="AR631" s="7"/>
      <c r="AS631" s="7"/>
      <c r="AT631" s="7"/>
      <c r="AU631" s="7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7"/>
      <c r="AR632" s="7"/>
      <c r="AS632" s="7"/>
      <c r="AT632" s="7"/>
      <c r="AU632" s="7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7"/>
      <c r="AR633" s="7"/>
      <c r="AS633" s="7"/>
      <c r="AT633" s="7"/>
      <c r="AU633" s="7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7"/>
      <c r="AR634" s="7"/>
      <c r="AS634" s="7"/>
      <c r="AT634" s="7"/>
      <c r="AU634" s="7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7"/>
      <c r="AR635" s="7"/>
      <c r="AS635" s="7"/>
      <c r="AT635" s="7"/>
      <c r="AU635" s="7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7"/>
      <c r="AR636" s="7"/>
      <c r="AS636" s="7"/>
      <c r="AT636" s="7"/>
      <c r="AU636" s="7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7"/>
      <c r="AR637" s="7"/>
      <c r="AS637" s="7"/>
      <c r="AT637" s="7"/>
      <c r="AU637" s="7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7"/>
      <c r="AR638" s="7"/>
      <c r="AS638" s="7"/>
      <c r="AT638" s="7"/>
      <c r="AU638" s="7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7"/>
      <c r="AR639" s="7"/>
      <c r="AS639" s="7"/>
      <c r="AT639" s="7"/>
      <c r="AU639" s="7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7"/>
      <c r="AR640" s="7"/>
      <c r="AS640" s="7"/>
      <c r="AT640" s="7"/>
      <c r="AU640" s="7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7"/>
      <c r="AR641" s="7"/>
      <c r="AS641" s="7"/>
      <c r="AT641" s="7"/>
      <c r="AU641" s="7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7"/>
      <c r="AR642" s="7"/>
      <c r="AS642" s="7"/>
      <c r="AT642" s="7"/>
      <c r="AU642" s="7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7"/>
      <c r="AR643" s="7"/>
      <c r="AS643" s="7"/>
      <c r="AT643" s="7"/>
      <c r="AU643" s="7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7"/>
      <c r="AR644" s="7"/>
      <c r="AS644" s="7"/>
      <c r="AT644" s="7"/>
      <c r="AU644" s="7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7"/>
      <c r="AR645" s="7"/>
      <c r="AS645" s="7"/>
      <c r="AT645" s="7"/>
      <c r="AU645" s="7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7"/>
      <c r="AR646" s="7"/>
      <c r="AS646" s="7"/>
      <c r="AT646" s="7"/>
      <c r="AU646" s="7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7"/>
      <c r="AR647" s="7"/>
      <c r="AS647" s="7"/>
      <c r="AT647" s="7"/>
      <c r="AU647" s="7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7"/>
      <c r="AR648" s="7"/>
      <c r="AS648" s="7"/>
      <c r="AT648" s="7"/>
      <c r="AU648" s="7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7"/>
      <c r="AR649" s="7"/>
      <c r="AS649" s="7"/>
      <c r="AT649" s="7"/>
      <c r="AU649" s="7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7"/>
      <c r="AR650" s="7"/>
      <c r="AS650" s="7"/>
      <c r="AT650" s="7"/>
      <c r="AU650" s="7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7"/>
      <c r="AR651" s="7"/>
      <c r="AS651" s="7"/>
      <c r="AT651" s="7"/>
      <c r="AU651" s="7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7"/>
      <c r="AR652" s="7"/>
      <c r="AS652" s="7"/>
      <c r="AT652" s="7"/>
      <c r="AU652" s="7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7"/>
      <c r="AR653" s="7"/>
      <c r="AS653" s="7"/>
      <c r="AT653" s="7"/>
      <c r="AU653" s="7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7"/>
      <c r="AR654" s="7"/>
      <c r="AS654" s="7"/>
      <c r="AT654" s="7"/>
      <c r="AU654" s="7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7"/>
      <c r="AR655" s="7"/>
      <c r="AS655" s="7"/>
      <c r="AT655" s="7"/>
      <c r="AU655" s="7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7"/>
      <c r="AR656" s="7"/>
      <c r="AS656" s="7"/>
      <c r="AT656" s="7"/>
      <c r="AU656" s="7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7"/>
      <c r="AR657" s="7"/>
      <c r="AS657" s="7"/>
      <c r="AT657" s="7"/>
      <c r="AU657" s="7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7"/>
      <c r="AR658" s="7"/>
      <c r="AS658" s="7"/>
      <c r="AT658" s="7"/>
      <c r="AU658" s="7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7"/>
      <c r="AR659" s="7"/>
      <c r="AS659" s="7"/>
      <c r="AT659" s="7"/>
      <c r="AU659" s="7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7"/>
      <c r="AR660" s="7"/>
      <c r="AS660" s="7"/>
      <c r="AT660" s="7"/>
      <c r="AU660" s="7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7"/>
      <c r="AR661" s="7"/>
      <c r="AS661" s="7"/>
      <c r="AT661" s="7"/>
      <c r="AU661" s="7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7"/>
      <c r="AR662" s="7"/>
      <c r="AS662" s="7"/>
      <c r="AT662" s="7"/>
      <c r="AU662" s="7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7"/>
      <c r="AR663" s="7"/>
      <c r="AS663" s="7"/>
      <c r="AT663" s="7"/>
      <c r="AU663" s="7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7"/>
      <c r="AR664" s="7"/>
      <c r="AS664" s="7"/>
      <c r="AT664" s="7"/>
      <c r="AU664" s="7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7"/>
      <c r="AR665" s="7"/>
      <c r="AS665" s="7"/>
      <c r="AT665" s="7"/>
      <c r="AU665" s="7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7"/>
      <c r="AR666" s="7"/>
      <c r="AS666" s="7"/>
      <c r="AT666" s="7"/>
      <c r="AU666" s="7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7"/>
      <c r="AR667" s="7"/>
      <c r="AS667" s="7"/>
      <c r="AT667" s="7"/>
      <c r="AU667" s="7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7"/>
      <c r="AR668" s="7"/>
      <c r="AS668" s="7"/>
      <c r="AT668" s="7"/>
      <c r="AU668" s="7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7"/>
      <c r="AR669" s="7"/>
      <c r="AS669" s="7"/>
      <c r="AT669" s="7"/>
      <c r="AU669" s="7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7"/>
      <c r="AR670" s="7"/>
      <c r="AS670" s="7"/>
      <c r="AT670" s="7"/>
      <c r="AU670" s="7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7"/>
      <c r="AR671" s="7"/>
      <c r="AS671" s="7"/>
      <c r="AT671" s="7"/>
      <c r="AU671" s="7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7"/>
      <c r="AR672" s="7"/>
      <c r="AS672" s="7"/>
      <c r="AT672" s="7"/>
      <c r="AU672" s="7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7"/>
      <c r="AR673" s="7"/>
      <c r="AS673" s="7"/>
      <c r="AT673" s="7"/>
      <c r="AU673" s="7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7"/>
      <c r="AR674" s="7"/>
      <c r="AS674" s="7"/>
      <c r="AT674" s="7"/>
      <c r="AU674" s="7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7"/>
      <c r="AR675" s="7"/>
      <c r="AS675" s="7"/>
      <c r="AT675" s="7"/>
      <c r="AU675" s="7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7"/>
      <c r="AR676" s="7"/>
      <c r="AS676" s="7"/>
      <c r="AT676" s="7"/>
      <c r="AU676" s="7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7"/>
      <c r="AR677" s="7"/>
      <c r="AS677" s="7"/>
      <c r="AT677" s="7"/>
      <c r="AU677" s="7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7"/>
      <c r="AR678" s="7"/>
      <c r="AS678" s="7"/>
      <c r="AT678" s="7"/>
      <c r="AU678" s="7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7"/>
      <c r="AR679" s="7"/>
      <c r="AS679" s="7"/>
      <c r="AT679" s="7"/>
      <c r="AU679" s="7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7"/>
      <c r="AR680" s="7"/>
      <c r="AS680" s="7"/>
      <c r="AT680" s="7"/>
      <c r="AU680" s="7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7"/>
      <c r="AR681" s="7"/>
      <c r="AS681" s="7"/>
      <c r="AT681" s="7"/>
      <c r="AU681" s="7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7"/>
      <c r="AR682" s="7"/>
      <c r="AS682" s="7"/>
      <c r="AT682" s="7"/>
      <c r="AU682" s="7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7"/>
      <c r="AR683" s="7"/>
      <c r="AS683" s="7"/>
      <c r="AT683" s="7"/>
      <c r="AU683" s="7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7"/>
      <c r="AR684" s="7"/>
      <c r="AS684" s="7"/>
      <c r="AT684" s="7"/>
      <c r="AU684" s="7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7"/>
      <c r="AR685" s="7"/>
      <c r="AS685" s="7"/>
      <c r="AT685" s="7"/>
      <c r="AU685" s="7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7"/>
      <c r="AR686" s="7"/>
      <c r="AS686" s="7"/>
      <c r="AT686" s="7"/>
      <c r="AU686" s="7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7"/>
      <c r="AR687" s="7"/>
      <c r="AS687" s="7"/>
      <c r="AT687" s="7"/>
      <c r="AU687" s="7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7"/>
      <c r="AR688" s="7"/>
      <c r="AS688" s="7"/>
      <c r="AT688" s="7"/>
      <c r="AU688" s="7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7"/>
      <c r="AR689" s="7"/>
      <c r="AS689" s="7"/>
      <c r="AT689" s="7"/>
      <c r="AU689" s="7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7"/>
      <c r="AR690" s="7"/>
      <c r="AS690" s="7"/>
      <c r="AT690" s="7"/>
      <c r="AU690" s="7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7"/>
      <c r="AR691" s="7"/>
      <c r="AS691" s="7"/>
      <c r="AT691" s="7"/>
      <c r="AU691" s="7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7"/>
      <c r="AR692" s="7"/>
      <c r="AS692" s="7"/>
      <c r="AT692" s="7"/>
      <c r="AU692" s="7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7"/>
      <c r="AR693" s="7"/>
      <c r="AS693" s="7"/>
      <c r="AT693" s="7"/>
      <c r="AU693" s="7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7"/>
      <c r="AR694" s="7"/>
      <c r="AS694" s="7"/>
      <c r="AT694" s="7"/>
      <c r="AU694" s="7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7"/>
      <c r="AR695" s="7"/>
      <c r="AS695" s="7"/>
      <c r="AT695" s="7"/>
      <c r="AU695" s="7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7"/>
      <c r="AR696" s="7"/>
      <c r="AS696" s="7"/>
      <c r="AT696" s="7"/>
      <c r="AU696" s="7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7"/>
      <c r="AR697" s="7"/>
      <c r="AS697" s="7"/>
      <c r="AT697" s="7"/>
      <c r="AU697" s="7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7"/>
      <c r="AR698" s="7"/>
      <c r="AS698" s="7"/>
      <c r="AT698" s="7"/>
      <c r="AU698" s="7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7"/>
      <c r="AR699" s="7"/>
      <c r="AS699" s="7"/>
      <c r="AT699" s="7"/>
      <c r="AU699" s="7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7"/>
      <c r="AR700" s="7"/>
      <c r="AS700" s="7"/>
      <c r="AT700" s="7"/>
      <c r="AU700" s="7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7"/>
      <c r="AR701" s="7"/>
      <c r="AS701" s="7"/>
      <c r="AT701" s="7"/>
      <c r="AU701" s="7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7"/>
      <c r="AR702" s="7"/>
      <c r="AS702" s="7"/>
      <c r="AT702" s="7"/>
      <c r="AU702" s="7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7"/>
      <c r="AR703" s="7"/>
      <c r="AS703" s="7"/>
      <c r="AT703" s="7"/>
      <c r="AU703" s="7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7"/>
      <c r="AR704" s="7"/>
      <c r="AS704" s="7"/>
      <c r="AT704" s="7"/>
      <c r="AU704" s="7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7"/>
      <c r="AR705" s="7"/>
      <c r="AS705" s="7"/>
      <c r="AT705" s="7"/>
      <c r="AU705" s="7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7"/>
      <c r="AR706" s="7"/>
      <c r="AS706" s="7"/>
      <c r="AT706" s="7"/>
      <c r="AU706" s="7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7"/>
      <c r="AR707" s="7"/>
      <c r="AS707" s="7"/>
      <c r="AT707" s="7"/>
      <c r="AU707" s="7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7"/>
      <c r="AR708" s="7"/>
      <c r="AS708" s="7"/>
      <c r="AT708" s="7"/>
      <c r="AU708" s="7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7"/>
      <c r="AR709" s="7"/>
      <c r="AS709" s="7"/>
      <c r="AT709" s="7"/>
      <c r="AU709" s="7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7"/>
      <c r="AR710" s="7"/>
      <c r="AS710" s="7"/>
      <c r="AT710" s="7"/>
      <c r="AU710" s="7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7"/>
      <c r="AR711" s="7"/>
      <c r="AS711" s="7"/>
      <c r="AT711" s="7"/>
      <c r="AU711" s="7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7"/>
      <c r="AR712" s="7"/>
      <c r="AS712" s="7"/>
      <c r="AT712" s="7"/>
      <c r="AU712" s="7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7"/>
      <c r="AR713" s="7"/>
      <c r="AS713" s="7"/>
      <c r="AT713" s="7"/>
      <c r="AU713" s="7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7"/>
      <c r="AR714" s="7"/>
      <c r="AS714" s="7"/>
      <c r="AT714" s="7"/>
      <c r="AU714" s="7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7"/>
      <c r="AR715" s="7"/>
      <c r="AS715" s="7"/>
      <c r="AT715" s="7"/>
      <c r="AU715" s="7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7"/>
      <c r="AR716" s="7"/>
      <c r="AS716" s="7"/>
      <c r="AT716" s="7"/>
      <c r="AU716" s="7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7"/>
      <c r="AR717" s="7"/>
      <c r="AS717" s="7"/>
      <c r="AT717" s="7"/>
      <c r="AU717" s="7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7"/>
      <c r="AR718" s="7"/>
      <c r="AS718" s="7"/>
      <c r="AT718" s="7"/>
      <c r="AU718" s="7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7"/>
      <c r="AR719" s="7"/>
      <c r="AS719" s="7"/>
      <c r="AT719" s="7"/>
      <c r="AU719" s="7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7"/>
      <c r="AR720" s="7"/>
      <c r="AS720" s="7"/>
      <c r="AT720" s="7"/>
      <c r="AU720" s="7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7"/>
      <c r="AR721" s="7"/>
      <c r="AS721" s="7"/>
      <c r="AT721" s="7"/>
      <c r="AU721" s="7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7"/>
      <c r="AR722" s="7"/>
      <c r="AS722" s="7"/>
      <c r="AT722" s="7"/>
      <c r="AU722" s="7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7"/>
      <c r="AR723" s="7"/>
      <c r="AS723" s="7"/>
      <c r="AT723" s="7"/>
      <c r="AU723" s="7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7"/>
      <c r="AR724" s="7"/>
      <c r="AS724" s="7"/>
      <c r="AT724" s="7"/>
      <c r="AU724" s="7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7"/>
      <c r="AR725" s="7"/>
      <c r="AS725" s="7"/>
      <c r="AT725" s="7"/>
      <c r="AU725" s="7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7"/>
      <c r="AR726" s="7"/>
      <c r="AS726" s="7"/>
      <c r="AT726" s="7"/>
      <c r="AU726" s="7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7"/>
      <c r="AR727" s="7"/>
      <c r="AS727" s="7"/>
      <c r="AT727" s="7"/>
      <c r="AU727" s="7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7"/>
      <c r="AR728" s="7"/>
      <c r="AS728" s="7"/>
      <c r="AT728" s="7"/>
      <c r="AU728" s="7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7"/>
      <c r="AR729" s="7"/>
      <c r="AS729" s="7"/>
      <c r="AT729" s="7"/>
      <c r="AU729" s="7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7"/>
      <c r="AR730" s="7"/>
      <c r="AS730" s="7"/>
      <c r="AT730" s="7"/>
      <c r="AU730" s="7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7"/>
      <c r="AR731" s="7"/>
      <c r="AS731" s="7"/>
      <c r="AT731" s="7"/>
      <c r="AU731" s="7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7"/>
      <c r="AR732" s="7"/>
      <c r="AS732" s="7"/>
      <c r="AT732" s="7"/>
      <c r="AU732" s="7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7"/>
      <c r="AR733" s="7"/>
      <c r="AS733" s="7"/>
      <c r="AT733" s="7"/>
      <c r="AU733" s="7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7"/>
      <c r="AR734" s="7"/>
      <c r="AS734" s="7"/>
      <c r="AT734" s="7"/>
      <c r="AU734" s="7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7"/>
      <c r="AR735" s="7"/>
      <c r="AS735" s="7"/>
      <c r="AT735" s="7"/>
      <c r="AU735" s="7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7"/>
      <c r="AR736" s="7"/>
      <c r="AS736" s="7"/>
      <c r="AT736" s="7"/>
      <c r="AU736" s="7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7"/>
      <c r="AR737" s="7"/>
      <c r="AS737" s="7"/>
      <c r="AT737" s="7"/>
      <c r="AU737" s="7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7"/>
      <c r="AR738" s="7"/>
      <c r="AS738" s="7"/>
      <c r="AT738" s="7"/>
      <c r="AU738" s="7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7"/>
      <c r="AR739" s="7"/>
      <c r="AS739" s="7"/>
      <c r="AT739" s="7"/>
      <c r="AU739" s="7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7"/>
      <c r="AR740" s="7"/>
      <c r="AS740" s="7"/>
      <c r="AT740" s="7"/>
      <c r="AU740" s="7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7"/>
      <c r="AR741" s="7"/>
      <c r="AS741" s="7"/>
      <c r="AT741" s="7"/>
      <c r="AU741" s="7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7"/>
      <c r="AR742" s="7"/>
      <c r="AS742" s="7"/>
      <c r="AT742" s="7"/>
      <c r="AU742" s="7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7"/>
      <c r="AR743" s="7"/>
      <c r="AS743" s="7"/>
      <c r="AT743" s="7"/>
      <c r="AU743" s="7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7"/>
      <c r="AR744" s="7"/>
      <c r="AS744" s="7"/>
      <c r="AT744" s="7"/>
      <c r="AU744" s="7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7"/>
      <c r="AR745" s="7"/>
      <c r="AS745" s="7"/>
      <c r="AT745" s="7"/>
      <c r="AU745" s="7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7"/>
      <c r="AR746" s="7"/>
      <c r="AS746" s="7"/>
      <c r="AT746" s="7"/>
      <c r="AU746" s="7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7"/>
      <c r="AR747" s="7"/>
      <c r="AS747" s="7"/>
      <c r="AT747" s="7"/>
      <c r="AU747" s="7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7"/>
      <c r="AR748" s="7"/>
      <c r="AS748" s="7"/>
      <c r="AT748" s="7"/>
      <c r="AU748" s="7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7"/>
      <c r="AR749" s="7"/>
      <c r="AS749" s="7"/>
      <c r="AT749" s="7"/>
      <c r="AU749" s="7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7"/>
      <c r="AR750" s="7"/>
      <c r="AS750" s="7"/>
      <c r="AT750" s="7"/>
      <c r="AU750" s="7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7"/>
      <c r="AR751" s="7"/>
      <c r="AS751" s="7"/>
      <c r="AT751" s="7"/>
      <c r="AU751" s="7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7"/>
      <c r="AR752" s="7"/>
      <c r="AS752" s="7"/>
      <c r="AT752" s="7"/>
      <c r="AU752" s="7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7"/>
      <c r="AR753" s="7"/>
      <c r="AS753" s="7"/>
      <c r="AT753" s="7"/>
      <c r="AU753" s="7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7"/>
      <c r="AR754" s="7"/>
      <c r="AS754" s="7"/>
      <c r="AT754" s="7"/>
      <c r="AU754" s="7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7"/>
      <c r="AR755" s="7"/>
      <c r="AS755" s="7"/>
      <c r="AT755" s="7"/>
      <c r="AU755" s="7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7"/>
      <c r="AR756" s="7"/>
      <c r="AS756" s="7"/>
      <c r="AT756" s="7"/>
      <c r="AU756" s="7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7"/>
      <c r="AR757" s="7"/>
      <c r="AS757" s="7"/>
      <c r="AT757" s="7"/>
      <c r="AU757" s="7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7"/>
      <c r="AR758" s="7"/>
      <c r="AS758" s="7"/>
      <c r="AT758" s="7"/>
      <c r="AU758" s="7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7"/>
      <c r="AR759" s="7"/>
      <c r="AS759" s="7"/>
      <c r="AT759" s="7"/>
      <c r="AU759" s="7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7"/>
      <c r="AR760" s="7"/>
      <c r="AS760" s="7"/>
      <c r="AT760" s="7"/>
      <c r="AU760" s="7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7"/>
      <c r="AR761" s="7"/>
      <c r="AS761" s="7"/>
      <c r="AT761" s="7"/>
      <c r="AU761" s="7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7"/>
      <c r="AR762" s="7"/>
      <c r="AS762" s="7"/>
      <c r="AT762" s="7"/>
      <c r="AU762" s="7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7"/>
      <c r="AR763" s="7"/>
      <c r="AS763" s="7"/>
      <c r="AT763" s="7"/>
      <c r="AU763" s="7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7"/>
      <c r="AR764" s="7"/>
      <c r="AS764" s="7"/>
      <c r="AT764" s="7"/>
      <c r="AU764" s="7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7"/>
      <c r="AR765" s="7"/>
      <c r="AS765" s="7"/>
      <c r="AT765" s="7"/>
      <c r="AU765" s="7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7"/>
      <c r="AR766" s="7"/>
      <c r="AS766" s="7"/>
      <c r="AT766" s="7"/>
      <c r="AU766" s="7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7"/>
      <c r="AR767" s="7"/>
      <c r="AS767" s="7"/>
      <c r="AT767" s="7"/>
      <c r="AU767" s="7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7"/>
      <c r="AR768" s="7"/>
      <c r="AS768" s="7"/>
      <c r="AT768" s="7"/>
      <c r="AU768" s="7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7"/>
      <c r="AR769" s="7"/>
      <c r="AS769" s="7"/>
      <c r="AT769" s="7"/>
      <c r="AU769" s="7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7"/>
      <c r="AR770" s="7"/>
      <c r="AS770" s="7"/>
      <c r="AT770" s="7"/>
      <c r="AU770" s="7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7"/>
      <c r="AR771" s="7"/>
      <c r="AS771" s="7"/>
      <c r="AT771" s="7"/>
      <c r="AU771" s="7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7"/>
      <c r="AR772" s="7"/>
      <c r="AS772" s="7"/>
      <c r="AT772" s="7"/>
      <c r="AU772" s="7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7"/>
      <c r="AR773" s="7"/>
      <c r="AS773" s="7"/>
      <c r="AT773" s="7"/>
      <c r="AU773" s="7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7"/>
      <c r="AR774" s="7"/>
      <c r="AS774" s="7"/>
      <c r="AT774" s="7"/>
      <c r="AU774" s="7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7"/>
      <c r="AR775" s="7"/>
      <c r="AS775" s="7"/>
      <c r="AT775" s="7"/>
      <c r="AU775" s="7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7"/>
      <c r="AR776" s="7"/>
      <c r="AS776" s="7"/>
      <c r="AT776" s="7"/>
      <c r="AU776" s="7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7"/>
      <c r="AR777" s="7"/>
      <c r="AS777" s="7"/>
      <c r="AT777" s="7"/>
      <c r="AU777" s="7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7"/>
      <c r="AR778" s="7"/>
      <c r="AS778" s="7"/>
      <c r="AT778" s="7"/>
      <c r="AU778" s="7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7"/>
      <c r="AR779" s="7"/>
      <c r="AS779" s="7"/>
      <c r="AT779" s="7"/>
      <c r="AU779" s="7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7"/>
      <c r="AR780" s="7"/>
      <c r="AS780" s="7"/>
      <c r="AT780" s="7"/>
      <c r="AU780" s="7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7"/>
      <c r="AR781" s="7"/>
      <c r="AS781" s="7"/>
      <c r="AT781" s="7"/>
      <c r="AU781" s="7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7"/>
      <c r="AR782" s="7"/>
      <c r="AS782" s="7"/>
      <c r="AT782" s="7"/>
      <c r="AU782" s="7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7"/>
      <c r="AR783" s="7"/>
      <c r="AS783" s="7"/>
      <c r="AT783" s="7"/>
      <c r="AU783" s="7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7"/>
      <c r="AR784" s="7"/>
      <c r="AS784" s="7"/>
      <c r="AT784" s="7"/>
      <c r="AU784" s="7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7"/>
      <c r="AR785" s="7"/>
      <c r="AS785" s="7"/>
      <c r="AT785" s="7"/>
      <c r="AU785" s="7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7"/>
      <c r="AR786" s="7"/>
      <c r="AS786" s="7"/>
      <c r="AT786" s="7"/>
      <c r="AU786" s="7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7"/>
      <c r="AR787" s="7"/>
      <c r="AS787" s="7"/>
      <c r="AT787" s="7"/>
      <c r="AU787" s="7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7"/>
      <c r="AR788" s="7"/>
      <c r="AS788" s="7"/>
      <c r="AT788" s="7"/>
      <c r="AU788" s="7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7"/>
      <c r="AR789" s="7"/>
      <c r="AS789" s="7"/>
      <c r="AT789" s="7"/>
      <c r="AU789" s="7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7"/>
      <c r="AR790" s="7"/>
      <c r="AS790" s="7"/>
      <c r="AT790" s="7"/>
      <c r="AU790" s="7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7"/>
      <c r="AR791" s="7"/>
      <c r="AS791" s="7"/>
      <c r="AT791" s="7"/>
      <c r="AU791" s="7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7"/>
      <c r="AR792" s="7"/>
      <c r="AS792" s="7"/>
      <c r="AT792" s="7"/>
      <c r="AU792" s="7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7"/>
      <c r="AR793" s="7"/>
      <c r="AS793" s="7"/>
      <c r="AT793" s="7"/>
      <c r="AU793" s="7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7"/>
      <c r="AR794" s="7"/>
      <c r="AS794" s="7"/>
      <c r="AT794" s="7"/>
      <c r="AU794" s="7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7"/>
      <c r="AR795" s="7"/>
      <c r="AS795" s="7"/>
      <c r="AT795" s="7"/>
      <c r="AU795" s="7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7"/>
      <c r="AR796" s="7"/>
      <c r="AS796" s="7"/>
      <c r="AT796" s="7"/>
      <c r="AU796" s="7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7"/>
      <c r="AR797" s="7"/>
      <c r="AS797" s="7"/>
      <c r="AT797" s="7"/>
      <c r="AU797" s="7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7"/>
      <c r="AR798" s="7"/>
      <c r="AS798" s="7"/>
      <c r="AT798" s="7"/>
      <c r="AU798" s="7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7"/>
      <c r="AR799" s="7"/>
      <c r="AS799" s="7"/>
      <c r="AT799" s="7"/>
      <c r="AU799" s="7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7"/>
      <c r="AR800" s="7"/>
      <c r="AS800" s="7"/>
      <c r="AT800" s="7"/>
      <c r="AU800" s="7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7"/>
      <c r="AR801" s="7"/>
      <c r="AS801" s="7"/>
      <c r="AT801" s="7"/>
      <c r="AU801" s="7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7"/>
      <c r="AR802" s="7"/>
      <c r="AS802" s="7"/>
      <c r="AT802" s="7"/>
      <c r="AU802" s="7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7"/>
      <c r="AR803" s="7"/>
      <c r="AS803" s="7"/>
      <c r="AT803" s="7"/>
      <c r="AU803" s="7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7"/>
      <c r="AR804" s="7"/>
      <c r="AS804" s="7"/>
      <c r="AT804" s="7"/>
      <c r="AU804" s="7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7"/>
      <c r="AR805" s="7"/>
      <c r="AS805" s="7"/>
      <c r="AT805" s="7"/>
      <c r="AU805" s="7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7"/>
      <c r="AR806" s="7"/>
      <c r="AS806" s="7"/>
      <c r="AT806" s="7"/>
      <c r="AU806" s="7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7"/>
      <c r="AR807" s="7"/>
      <c r="AS807" s="7"/>
      <c r="AT807" s="7"/>
      <c r="AU807" s="7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7"/>
      <c r="AR808" s="7"/>
      <c r="AS808" s="7"/>
      <c r="AT808" s="7"/>
      <c r="AU808" s="7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7"/>
      <c r="AR809" s="7"/>
      <c r="AS809" s="7"/>
      <c r="AT809" s="7"/>
      <c r="AU809" s="7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7"/>
      <c r="AR810" s="7"/>
      <c r="AS810" s="7"/>
      <c r="AT810" s="7"/>
      <c r="AU810" s="7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7"/>
      <c r="AR811" s="7"/>
      <c r="AS811" s="7"/>
      <c r="AT811" s="7"/>
      <c r="AU811" s="7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7"/>
      <c r="AR812" s="7"/>
      <c r="AS812" s="7"/>
      <c r="AT812" s="7"/>
      <c r="AU812" s="7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7"/>
      <c r="AR813" s="7"/>
      <c r="AS813" s="7"/>
      <c r="AT813" s="7"/>
      <c r="AU813" s="7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7"/>
      <c r="AR814" s="7"/>
      <c r="AS814" s="7"/>
      <c r="AT814" s="7"/>
      <c r="AU814" s="7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7"/>
      <c r="AR815" s="7"/>
      <c r="AS815" s="7"/>
      <c r="AT815" s="7"/>
      <c r="AU815" s="7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7"/>
      <c r="AR816" s="7"/>
      <c r="AS816" s="7"/>
      <c r="AT816" s="7"/>
      <c r="AU816" s="7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7"/>
      <c r="AR817" s="7"/>
      <c r="AS817" s="7"/>
      <c r="AT817" s="7"/>
      <c r="AU817" s="7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7"/>
      <c r="AR818" s="7"/>
      <c r="AS818" s="7"/>
      <c r="AT818" s="7"/>
      <c r="AU818" s="7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7"/>
      <c r="AR819" s="7"/>
      <c r="AS819" s="7"/>
      <c r="AT819" s="7"/>
      <c r="AU819" s="7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7"/>
      <c r="AR820" s="7"/>
      <c r="AS820" s="7"/>
      <c r="AT820" s="7"/>
      <c r="AU820" s="7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7"/>
      <c r="AR821" s="7"/>
      <c r="AS821" s="7"/>
      <c r="AT821" s="7"/>
      <c r="AU821" s="7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7"/>
      <c r="AR822" s="7"/>
      <c r="AS822" s="7"/>
      <c r="AT822" s="7"/>
      <c r="AU822" s="7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7"/>
      <c r="AR823" s="7"/>
      <c r="AS823" s="7"/>
      <c r="AT823" s="7"/>
      <c r="AU823" s="7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7"/>
      <c r="AR824" s="7"/>
      <c r="AS824" s="7"/>
      <c r="AT824" s="7"/>
      <c r="AU824" s="7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7"/>
      <c r="AR825" s="7"/>
      <c r="AS825" s="7"/>
      <c r="AT825" s="7"/>
      <c r="AU825" s="7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7"/>
      <c r="AR826" s="7"/>
      <c r="AS826" s="7"/>
      <c r="AT826" s="7"/>
      <c r="AU826" s="7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7"/>
      <c r="AR827" s="7"/>
      <c r="AS827" s="7"/>
      <c r="AT827" s="7"/>
      <c r="AU827" s="7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7"/>
      <c r="AR828" s="7"/>
      <c r="AS828" s="7"/>
      <c r="AT828" s="7"/>
      <c r="AU828" s="7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7"/>
      <c r="AR829" s="7"/>
      <c r="AS829" s="7"/>
      <c r="AT829" s="7"/>
      <c r="AU829" s="7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7"/>
      <c r="AR830" s="7"/>
      <c r="AS830" s="7"/>
      <c r="AT830" s="7"/>
      <c r="AU830" s="7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7"/>
      <c r="AR831" s="7"/>
      <c r="AS831" s="7"/>
      <c r="AT831" s="7"/>
      <c r="AU831" s="7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7"/>
      <c r="AR832" s="7"/>
      <c r="AS832" s="7"/>
      <c r="AT832" s="7"/>
      <c r="AU832" s="7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7"/>
      <c r="AR833" s="7"/>
      <c r="AS833" s="7"/>
      <c r="AT833" s="7"/>
      <c r="AU833" s="7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7"/>
      <c r="AR834" s="7"/>
      <c r="AS834" s="7"/>
      <c r="AT834" s="7"/>
      <c r="AU834" s="7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7"/>
      <c r="AR835" s="7"/>
      <c r="AS835" s="7"/>
      <c r="AT835" s="7"/>
      <c r="AU835" s="7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7"/>
      <c r="AR836" s="7"/>
      <c r="AS836" s="7"/>
      <c r="AT836" s="7"/>
      <c r="AU836" s="7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7"/>
      <c r="AR837" s="7"/>
      <c r="AS837" s="7"/>
      <c r="AT837" s="7"/>
      <c r="AU837" s="7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7"/>
      <c r="AR838" s="7"/>
      <c r="AS838" s="7"/>
      <c r="AT838" s="7"/>
      <c r="AU838" s="7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7"/>
      <c r="AR839" s="7"/>
      <c r="AS839" s="7"/>
      <c r="AT839" s="7"/>
      <c r="AU839" s="7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7"/>
      <c r="AR840" s="7"/>
      <c r="AS840" s="7"/>
      <c r="AT840" s="7"/>
      <c r="AU840" s="7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7"/>
      <c r="AR841" s="7"/>
      <c r="AS841" s="7"/>
      <c r="AT841" s="7"/>
      <c r="AU841" s="7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7"/>
      <c r="AR842" s="7"/>
      <c r="AS842" s="7"/>
      <c r="AT842" s="7"/>
      <c r="AU842" s="7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7"/>
      <c r="AR843" s="7"/>
      <c r="AS843" s="7"/>
      <c r="AT843" s="7"/>
      <c r="AU843" s="7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7"/>
      <c r="AR844" s="7"/>
      <c r="AS844" s="7"/>
      <c r="AT844" s="7"/>
      <c r="AU844" s="7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7"/>
      <c r="AR845" s="7"/>
      <c r="AS845" s="7"/>
      <c r="AT845" s="7"/>
      <c r="AU845" s="7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7"/>
      <c r="AR846" s="7"/>
      <c r="AS846" s="7"/>
      <c r="AT846" s="7"/>
      <c r="AU846" s="7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7"/>
      <c r="AR847" s="7"/>
      <c r="AS847" s="7"/>
      <c r="AT847" s="7"/>
      <c r="AU847" s="7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7"/>
      <c r="AR848" s="7"/>
      <c r="AS848" s="7"/>
      <c r="AT848" s="7"/>
      <c r="AU848" s="7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7"/>
      <c r="AR849" s="7"/>
      <c r="AS849" s="7"/>
      <c r="AT849" s="7"/>
      <c r="AU849" s="7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7"/>
      <c r="AR850" s="7"/>
      <c r="AS850" s="7"/>
      <c r="AT850" s="7"/>
      <c r="AU850" s="7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7"/>
      <c r="AR851" s="7"/>
      <c r="AS851" s="7"/>
      <c r="AT851" s="7"/>
      <c r="AU851" s="7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7"/>
      <c r="AR852" s="7"/>
      <c r="AS852" s="7"/>
      <c r="AT852" s="7"/>
      <c r="AU852" s="7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7"/>
      <c r="AR853" s="7"/>
      <c r="AS853" s="7"/>
      <c r="AT853" s="7"/>
      <c r="AU853" s="7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7"/>
      <c r="AR854" s="7"/>
      <c r="AS854" s="7"/>
      <c r="AT854" s="7"/>
      <c r="AU854" s="7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7"/>
      <c r="AR855" s="7"/>
      <c r="AS855" s="7"/>
      <c r="AT855" s="7"/>
      <c r="AU855" s="7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7"/>
      <c r="AR856" s="7"/>
      <c r="AS856" s="7"/>
      <c r="AT856" s="7"/>
      <c r="AU856" s="7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7"/>
      <c r="AR857" s="7"/>
      <c r="AS857" s="7"/>
      <c r="AT857" s="7"/>
      <c r="AU857" s="7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7"/>
      <c r="AR858" s="7"/>
      <c r="AS858" s="7"/>
      <c r="AT858" s="7"/>
      <c r="AU858" s="7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7"/>
      <c r="AR859" s="7"/>
      <c r="AS859" s="7"/>
      <c r="AT859" s="7"/>
      <c r="AU859" s="7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7"/>
      <c r="AR860" s="7"/>
      <c r="AS860" s="7"/>
      <c r="AT860" s="7"/>
      <c r="AU860" s="7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7"/>
      <c r="AR861" s="7"/>
      <c r="AS861" s="7"/>
      <c r="AT861" s="7"/>
      <c r="AU861" s="7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7"/>
      <c r="AR862" s="7"/>
      <c r="AS862" s="7"/>
      <c r="AT862" s="7"/>
      <c r="AU862" s="7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7"/>
      <c r="AR863" s="7"/>
      <c r="AS863" s="7"/>
      <c r="AT863" s="7"/>
      <c r="AU863" s="7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7"/>
      <c r="AR864" s="7"/>
      <c r="AS864" s="7"/>
      <c r="AT864" s="7"/>
      <c r="AU864" s="7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7"/>
      <c r="AR865" s="7"/>
      <c r="AS865" s="7"/>
      <c r="AT865" s="7"/>
      <c r="AU865" s="7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7"/>
      <c r="AR866" s="7"/>
      <c r="AS866" s="7"/>
      <c r="AT866" s="7"/>
      <c r="AU866" s="7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7"/>
      <c r="AR867" s="7"/>
      <c r="AS867" s="7"/>
      <c r="AT867" s="7"/>
      <c r="AU867" s="7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7"/>
      <c r="AR868" s="7"/>
      <c r="AS868" s="7"/>
      <c r="AT868" s="7"/>
      <c r="AU868" s="7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7"/>
      <c r="AR869" s="7"/>
      <c r="AS869" s="7"/>
      <c r="AT869" s="7"/>
      <c r="AU869" s="7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7"/>
      <c r="AR870" s="7"/>
      <c r="AS870" s="7"/>
      <c r="AT870" s="7"/>
      <c r="AU870" s="7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7"/>
      <c r="AR871" s="7"/>
      <c r="AS871" s="7"/>
      <c r="AT871" s="7"/>
      <c r="AU871" s="7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7"/>
      <c r="AR872" s="7"/>
      <c r="AS872" s="7"/>
      <c r="AT872" s="7"/>
      <c r="AU872" s="7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7"/>
      <c r="AR873" s="7"/>
      <c r="AS873" s="7"/>
      <c r="AT873" s="7"/>
      <c r="AU873" s="7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7"/>
      <c r="AR874" s="7"/>
      <c r="AS874" s="7"/>
      <c r="AT874" s="7"/>
      <c r="AU874" s="7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7"/>
      <c r="AR875" s="7"/>
      <c r="AS875" s="7"/>
      <c r="AT875" s="7"/>
      <c r="AU875" s="7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7"/>
      <c r="AR876" s="7"/>
      <c r="AS876" s="7"/>
      <c r="AT876" s="7"/>
      <c r="AU876" s="7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7"/>
      <c r="AR877" s="7"/>
      <c r="AS877" s="7"/>
      <c r="AT877" s="7"/>
      <c r="AU877" s="7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7"/>
      <c r="AR878" s="7"/>
      <c r="AS878" s="7"/>
      <c r="AT878" s="7"/>
      <c r="AU878" s="7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7"/>
      <c r="AR879" s="7"/>
      <c r="AS879" s="7"/>
      <c r="AT879" s="7"/>
      <c r="AU879" s="7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7"/>
      <c r="AR880" s="7"/>
      <c r="AS880" s="7"/>
      <c r="AT880" s="7"/>
      <c r="AU880" s="7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7"/>
      <c r="AR881" s="7"/>
      <c r="AS881" s="7"/>
      <c r="AT881" s="7"/>
      <c r="AU881" s="7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7"/>
      <c r="AR882" s="7"/>
      <c r="AS882" s="7"/>
      <c r="AT882" s="7"/>
      <c r="AU882" s="7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7"/>
      <c r="AR883" s="7"/>
      <c r="AS883" s="7"/>
      <c r="AT883" s="7"/>
      <c r="AU883" s="7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7"/>
      <c r="AR884" s="7"/>
      <c r="AS884" s="7"/>
      <c r="AT884" s="7"/>
      <c r="AU884" s="7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7"/>
      <c r="AR885" s="7"/>
      <c r="AS885" s="7"/>
      <c r="AT885" s="7"/>
      <c r="AU885" s="7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7"/>
      <c r="AR886" s="7"/>
      <c r="AS886" s="7"/>
      <c r="AT886" s="7"/>
      <c r="AU886" s="7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7"/>
      <c r="AR887" s="7"/>
      <c r="AS887" s="7"/>
      <c r="AT887" s="7"/>
      <c r="AU887" s="7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7"/>
      <c r="AR888" s="7"/>
      <c r="AS888" s="7"/>
      <c r="AT888" s="7"/>
      <c r="AU888" s="7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7"/>
      <c r="AR889" s="7"/>
      <c r="AS889" s="7"/>
      <c r="AT889" s="7"/>
      <c r="AU889" s="7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7"/>
      <c r="AR890" s="7"/>
      <c r="AS890" s="7"/>
      <c r="AT890" s="7"/>
      <c r="AU890" s="7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7"/>
      <c r="AR891" s="7"/>
      <c r="AS891" s="7"/>
      <c r="AT891" s="7"/>
      <c r="AU891" s="7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7"/>
      <c r="AR892" s="7"/>
      <c r="AS892" s="7"/>
      <c r="AT892" s="7"/>
      <c r="AU892" s="7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7"/>
      <c r="AR893" s="7"/>
      <c r="AS893" s="7"/>
      <c r="AT893" s="7"/>
      <c r="AU893" s="7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7"/>
      <c r="AR894" s="7"/>
      <c r="AS894" s="7"/>
      <c r="AT894" s="7"/>
      <c r="AU894" s="7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7"/>
      <c r="AR895" s="7"/>
      <c r="AS895" s="7"/>
      <c r="AT895" s="7"/>
      <c r="AU895" s="7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7"/>
      <c r="AR896" s="7"/>
      <c r="AS896" s="7"/>
      <c r="AT896" s="7"/>
      <c r="AU896" s="7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7"/>
      <c r="AR897" s="7"/>
      <c r="AS897" s="7"/>
      <c r="AT897" s="7"/>
      <c r="AU897" s="7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7"/>
      <c r="AR898" s="7"/>
      <c r="AS898" s="7"/>
      <c r="AT898" s="7"/>
      <c r="AU898" s="7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7"/>
      <c r="AR899" s="7"/>
      <c r="AS899" s="7"/>
      <c r="AT899" s="7"/>
      <c r="AU899" s="7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7"/>
      <c r="AR900" s="7"/>
      <c r="AS900" s="7"/>
      <c r="AT900" s="7"/>
      <c r="AU900" s="7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7"/>
      <c r="AR901" s="7"/>
      <c r="AS901" s="7"/>
      <c r="AT901" s="7"/>
      <c r="AU901" s="7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7"/>
      <c r="AR902" s="7"/>
      <c r="AS902" s="7"/>
      <c r="AT902" s="7"/>
      <c r="AU902" s="7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7"/>
      <c r="AR903" s="7"/>
      <c r="AS903" s="7"/>
      <c r="AT903" s="7"/>
      <c r="AU903" s="7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7"/>
      <c r="AR904" s="7"/>
      <c r="AS904" s="7"/>
      <c r="AT904" s="7"/>
      <c r="AU904" s="7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7"/>
      <c r="AR905" s="7"/>
      <c r="AS905" s="7"/>
      <c r="AT905" s="7"/>
      <c r="AU905" s="7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7"/>
      <c r="AR906" s="7"/>
      <c r="AS906" s="7"/>
      <c r="AT906" s="7"/>
      <c r="AU906" s="7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7"/>
      <c r="AR907" s="7"/>
      <c r="AS907" s="7"/>
      <c r="AT907" s="7"/>
      <c r="AU907" s="7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7"/>
      <c r="AR908" s="7"/>
      <c r="AS908" s="7"/>
      <c r="AT908" s="7"/>
      <c r="AU908" s="7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7"/>
      <c r="AR909" s="7"/>
      <c r="AS909" s="7"/>
      <c r="AT909" s="7"/>
      <c r="AU909" s="7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7"/>
      <c r="AR910" s="7"/>
      <c r="AS910" s="7"/>
      <c r="AT910" s="7"/>
      <c r="AU910" s="7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7"/>
      <c r="AR911" s="7"/>
      <c r="AS911" s="7"/>
      <c r="AT911" s="7"/>
      <c r="AU911" s="7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7"/>
      <c r="AR912" s="7"/>
      <c r="AS912" s="7"/>
      <c r="AT912" s="7"/>
      <c r="AU912" s="7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7"/>
      <c r="AR913" s="7"/>
      <c r="AS913" s="7"/>
      <c r="AT913" s="7"/>
      <c r="AU913" s="7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7"/>
      <c r="AR914" s="7"/>
      <c r="AS914" s="7"/>
      <c r="AT914" s="7"/>
      <c r="AU914" s="7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7"/>
      <c r="AR915" s="7"/>
      <c r="AS915" s="7"/>
      <c r="AT915" s="7"/>
      <c r="AU915" s="7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7"/>
      <c r="AR916" s="7"/>
      <c r="AS916" s="7"/>
      <c r="AT916" s="7"/>
      <c r="AU916" s="7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7"/>
      <c r="AR917" s="7"/>
      <c r="AS917" s="7"/>
      <c r="AT917" s="7"/>
      <c r="AU917" s="7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7"/>
      <c r="AR918" s="7"/>
      <c r="AS918" s="7"/>
      <c r="AT918" s="7"/>
      <c r="AU918" s="7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7"/>
      <c r="AR919" s="7"/>
      <c r="AS919" s="7"/>
      <c r="AT919" s="7"/>
      <c r="AU919" s="7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7"/>
      <c r="AR920" s="7"/>
      <c r="AS920" s="7"/>
      <c r="AT920" s="7"/>
      <c r="AU920" s="7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7"/>
      <c r="AR921" s="7"/>
      <c r="AS921" s="7"/>
      <c r="AT921" s="7"/>
      <c r="AU921" s="7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7"/>
      <c r="AR922" s="7"/>
      <c r="AS922" s="7"/>
      <c r="AT922" s="7"/>
      <c r="AU922" s="7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7"/>
      <c r="AR923" s="7"/>
      <c r="AS923" s="7"/>
      <c r="AT923" s="7"/>
      <c r="AU923" s="7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7"/>
      <c r="AR924" s="7"/>
      <c r="AS924" s="7"/>
      <c r="AT924" s="7"/>
      <c r="AU924" s="7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7"/>
      <c r="AR925" s="7"/>
      <c r="AS925" s="7"/>
      <c r="AT925" s="7"/>
      <c r="AU925" s="7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7"/>
      <c r="AR926" s="7"/>
      <c r="AS926" s="7"/>
      <c r="AT926" s="7"/>
      <c r="AU926" s="7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7"/>
      <c r="AR927" s="7"/>
      <c r="AS927" s="7"/>
      <c r="AT927" s="7"/>
      <c r="AU927" s="7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7"/>
      <c r="AR928" s="7"/>
      <c r="AS928" s="7"/>
      <c r="AT928" s="7"/>
      <c r="AU928" s="7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7"/>
      <c r="AR929" s="7"/>
      <c r="AS929" s="7"/>
      <c r="AT929" s="7"/>
      <c r="AU929" s="7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7"/>
      <c r="AR930" s="7"/>
      <c r="AS930" s="7"/>
      <c r="AT930" s="7"/>
      <c r="AU930" s="7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7"/>
      <c r="AR931" s="7"/>
      <c r="AS931" s="7"/>
      <c r="AT931" s="7"/>
      <c r="AU931" s="7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7"/>
      <c r="AR932" s="7"/>
      <c r="AS932" s="7"/>
      <c r="AT932" s="7"/>
      <c r="AU932" s="7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7"/>
      <c r="AR933" s="7"/>
      <c r="AS933" s="7"/>
      <c r="AT933" s="7"/>
      <c r="AU933" s="7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7"/>
      <c r="AR934" s="7"/>
      <c r="AS934" s="7"/>
      <c r="AT934" s="7"/>
      <c r="AU934" s="7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7"/>
      <c r="AR935" s="7"/>
      <c r="AS935" s="7"/>
      <c r="AT935" s="7"/>
      <c r="AU935" s="7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7"/>
      <c r="AR936" s="7"/>
      <c r="AS936" s="7"/>
      <c r="AT936" s="7"/>
      <c r="AU936" s="7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7"/>
      <c r="AR937" s="7"/>
      <c r="AS937" s="7"/>
      <c r="AT937" s="7"/>
      <c r="AU937" s="7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7"/>
      <c r="AR938" s="7"/>
      <c r="AS938" s="7"/>
      <c r="AT938" s="7"/>
      <c r="AU938" s="7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7"/>
      <c r="AR939" s="7"/>
      <c r="AS939" s="7"/>
      <c r="AT939" s="7"/>
      <c r="AU939" s="7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7"/>
      <c r="AR940" s="7"/>
      <c r="AS940" s="7"/>
      <c r="AT940" s="7"/>
      <c r="AU940" s="7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7"/>
      <c r="AR941" s="7"/>
      <c r="AS941" s="7"/>
      <c r="AT941" s="7"/>
      <c r="AU941" s="7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7"/>
      <c r="AR942" s="7"/>
      <c r="AS942" s="7"/>
      <c r="AT942" s="7"/>
      <c r="AU942" s="7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7"/>
      <c r="AR943" s="7"/>
      <c r="AS943" s="7"/>
      <c r="AT943" s="7"/>
      <c r="AU943" s="7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7"/>
      <c r="AR944" s="7"/>
      <c r="AS944" s="7"/>
      <c r="AT944" s="7"/>
      <c r="AU944" s="7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7"/>
      <c r="AR945" s="7"/>
      <c r="AS945" s="7"/>
      <c r="AT945" s="7"/>
      <c r="AU945" s="7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7"/>
      <c r="AR946" s="7"/>
      <c r="AS946" s="7"/>
      <c r="AT946" s="7"/>
      <c r="AU946" s="7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7"/>
      <c r="AR947" s="7"/>
      <c r="AS947" s="7"/>
      <c r="AT947" s="7"/>
      <c r="AU947" s="7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7"/>
      <c r="AR948" s="7"/>
      <c r="AS948" s="7"/>
      <c r="AT948" s="7"/>
      <c r="AU948" s="7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7"/>
      <c r="AR949" s="7"/>
      <c r="AS949" s="7"/>
      <c r="AT949" s="7"/>
      <c r="AU949" s="7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7"/>
      <c r="AR950" s="7"/>
      <c r="AS950" s="7"/>
      <c r="AT950" s="7"/>
      <c r="AU950" s="7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7"/>
      <c r="AR951" s="7"/>
      <c r="AS951" s="7"/>
      <c r="AT951" s="7"/>
      <c r="AU951" s="7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7"/>
      <c r="AR952" s="7"/>
      <c r="AS952" s="7"/>
      <c r="AT952" s="7"/>
      <c r="AU952" s="7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7"/>
      <c r="AR953" s="7"/>
      <c r="AS953" s="7"/>
      <c r="AT953" s="7"/>
      <c r="AU953" s="7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7"/>
      <c r="AR954" s="7"/>
      <c r="AS954" s="7"/>
      <c r="AT954" s="7"/>
      <c r="AU954" s="7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7"/>
      <c r="AR955" s="7"/>
      <c r="AS955" s="7"/>
      <c r="AT955" s="7"/>
      <c r="AU955" s="7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7"/>
      <c r="AR956" s="7"/>
      <c r="AS956" s="7"/>
      <c r="AT956" s="7"/>
      <c r="AU956" s="7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7"/>
      <c r="AR957" s="7"/>
      <c r="AS957" s="7"/>
      <c r="AT957" s="7"/>
      <c r="AU957" s="7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7"/>
      <c r="AR958" s="7"/>
      <c r="AS958" s="7"/>
      <c r="AT958" s="7"/>
      <c r="AU958" s="7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7"/>
      <c r="AR959" s="7"/>
      <c r="AS959" s="7"/>
      <c r="AT959" s="7"/>
      <c r="AU959" s="7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7"/>
      <c r="AR960" s="7"/>
      <c r="AS960" s="7"/>
      <c r="AT960" s="7"/>
      <c r="AU960" s="7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7"/>
      <c r="AR961" s="7"/>
      <c r="AS961" s="7"/>
      <c r="AT961" s="7"/>
      <c r="AU961" s="7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7"/>
      <c r="AR962" s="7"/>
      <c r="AS962" s="7"/>
      <c r="AT962" s="7"/>
      <c r="AU962" s="7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7"/>
      <c r="AR963" s="7"/>
      <c r="AS963" s="7"/>
      <c r="AT963" s="7"/>
      <c r="AU963" s="7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7"/>
      <c r="AR964" s="7"/>
      <c r="AS964" s="7"/>
      <c r="AT964" s="7"/>
      <c r="AU964" s="7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7"/>
      <c r="AR965" s="7"/>
      <c r="AS965" s="7"/>
      <c r="AT965" s="7"/>
      <c r="AU965" s="7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7"/>
      <c r="AR966" s="7"/>
      <c r="AS966" s="7"/>
      <c r="AT966" s="7"/>
      <c r="AU966" s="7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7"/>
      <c r="AR967" s="7"/>
      <c r="AS967" s="7"/>
      <c r="AT967" s="7"/>
      <c r="AU967" s="7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7"/>
      <c r="AR968" s="7"/>
      <c r="AS968" s="7"/>
      <c r="AT968" s="7"/>
      <c r="AU968" s="7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7"/>
      <c r="AR969" s="7"/>
      <c r="AS969" s="7"/>
      <c r="AT969" s="7"/>
      <c r="AU969" s="7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7"/>
      <c r="AR970" s="7"/>
      <c r="AS970" s="7"/>
      <c r="AT970" s="7"/>
      <c r="AU970" s="7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7"/>
      <c r="AR971" s="7"/>
      <c r="AS971" s="7"/>
      <c r="AT971" s="7"/>
      <c r="AU971" s="7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7"/>
      <c r="AR972" s="7"/>
      <c r="AS972" s="7"/>
      <c r="AT972" s="7"/>
      <c r="AU972" s="7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7"/>
      <c r="AR973" s="7"/>
      <c r="AS973" s="7"/>
      <c r="AT973" s="7"/>
      <c r="AU973" s="7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7"/>
      <c r="AR974" s="7"/>
      <c r="AS974" s="7"/>
      <c r="AT974" s="7"/>
      <c r="AU974" s="7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7"/>
      <c r="AR975" s="7"/>
      <c r="AS975" s="7"/>
      <c r="AT975" s="7"/>
      <c r="AU975" s="7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7"/>
      <c r="AR976" s="7"/>
      <c r="AS976" s="7"/>
      <c r="AT976" s="7"/>
      <c r="AU976" s="7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7"/>
      <c r="AR977" s="7"/>
      <c r="AS977" s="7"/>
      <c r="AT977" s="7"/>
      <c r="AU977" s="7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7"/>
      <c r="AR978" s="7"/>
      <c r="AS978" s="7"/>
      <c r="AT978" s="7"/>
      <c r="AU978" s="7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7"/>
      <c r="AR979" s="7"/>
      <c r="AS979" s="7"/>
      <c r="AT979" s="7"/>
      <c r="AU979" s="7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7"/>
      <c r="AR980" s="7"/>
      <c r="AS980" s="7"/>
      <c r="AT980" s="7"/>
      <c r="AU980" s="7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7"/>
      <c r="AR981" s="7"/>
      <c r="AS981" s="7"/>
      <c r="AT981" s="7"/>
      <c r="AU981" s="7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7"/>
      <c r="AR982" s="7"/>
      <c r="AS982" s="7"/>
      <c r="AT982" s="7"/>
      <c r="AU982" s="7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7"/>
      <c r="AR983" s="7"/>
      <c r="AS983" s="7"/>
      <c r="AT983" s="7"/>
      <c r="AU983" s="7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7"/>
      <c r="AR984" s="7"/>
      <c r="AS984" s="7"/>
      <c r="AT984" s="7"/>
      <c r="AU984" s="7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7"/>
      <c r="AR985" s="7"/>
      <c r="AS985" s="7"/>
      <c r="AT985" s="7"/>
      <c r="AU985" s="7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7"/>
      <c r="AR986" s="7"/>
      <c r="AS986" s="7"/>
      <c r="AT986" s="7"/>
      <c r="AU986" s="7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7"/>
      <c r="AR987" s="7"/>
      <c r="AS987" s="7"/>
      <c r="AT987" s="7"/>
      <c r="AU987" s="7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7"/>
      <c r="AR988" s="7"/>
      <c r="AS988" s="7"/>
      <c r="AT988" s="7"/>
      <c r="AU988" s="7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7"/>
      <c r="AR989" s="7"/>
      <c r="AS989" s="7"/>
      <c r="AT989" s="7"/>
      <c r="AU989" s="7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7"/>
      <c r="AR990" s="7"/>
      <c r="AS990" s="7"/>
      <c r="AT990" s="7"/>
      <c r="AU990" s="7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7"/>
      <c r="AR991" s="7"/>
      <c r="AS991" s="7"/>
      <c r="AT991" s="7"/>
      <c r="AU991" s="7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7"/>
      <c r="AR992" s="7"/>
      <c r="AS992" s="7"/>
      <c r="AT992" s="7"/>
      <c r="AU992" s="7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7"/>
      <c r="AR993" s="7"/>
      <c r="AS993" s="7"/>
      <c r="AT993" s="7"/>
      <c r="AU993" s="7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7"/>
      <c r="AR994" s="7"/>
      <c r="AS994" s="7"/>
      <c r="AT994" s="7"/>
      <c r="AU994" s="7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7"/>
      <c r="AR995" s="7"/>
      <c r="AS995" s="7"/>
      <c r="AT995" s="7"/>
      <c r="AU995" s="7"/>
    </row>
  </sheetData>
  <mergeCells count="22">
    <mergeCell ref="AT3:AT4"/>
    <mergeCell ref="AU3:AU4"/>
    <mergeCell ref="AM3:AM4"/>
    <mergeCell ref="AN3:AN4"/>
    <mergeCell ref="AO3:AO4"/>
    <mergeCell ref="AP3:AP4"/>
    <mergeCell ref="AQ3:AQ4"/>
    <mergeCell ref="AR3:AR4"/>
    <mergeCell ref="AS3:AS4"/>
    <mergeCell ref="A15:B15"/>
    <mergeCell ref="I15:J15"/>
    <mergeCell ref="A24:B24"/>
    <mergeCell ref="A33:B33"/>
    <mergeCell ref="A42:B42"/>
    <mergeCell ref="A51:B51"/>
    <mergeCell ref="A3:A4"/>
    <mergeCell ref="B3:B4"/>
    <mergeCell ref="C3:C4"/>
    <mergeCell ref="AI3:AI4"/>
    <mergeCell ref="AJ3:AJ4"/>
    <mergeCell ref="AK3:AK4"/>
    <mergeCell ref="AL3:AL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0"/>
    <col customWidth="1" min="2" max="2" width="16.38"/>
    <col customWidth="1" min="3" max="3" width="20.0"/>
    <col customWidth="1" min="5" max="5" width="13.38"/>
    <col customWidth="1" min="9" max="9" width="15.63"/>
    <col customWidth="1" min="10" max="10" width="13.25"/>
    <col customWidth="1" min="12" max="12" width="13.38"/>
    <col customWidth="1" min="16" max="16" width="15.25"/>
    <col customWidth="1" min="19" max="19" width="13.25"/>
    <col customWidth="1" min="45" max="45" width="14.75"/>
  </cols>
  <sheetData>
    <row r="2">
      <c r="A2" s="3" t="s">
        <v>0</v>
      </c>
      <c r="B2" s="3" t="s">
        <v>1</v>
      </c>
      <c r="C2" s="3" t="s">
        <v>2</v>
      </c>
      <c r="D2" s="5">
        <v>46174.0</v>
      </c>
      <c r="E2" s="5">
        <v>46175.0</v>
      </c>
      <c r="F2" s="5">
        <v>46176.0</v>
      </c>
      <c r="G2" s="5">
        <v>46177.0</v>
      </c>
      <c r="H2" s="5">
        <v>46178.0</v>
      </c>
      <c r="I2" s="5">
        <v>46179.0</v>
      </c>
      <c r="J2" s="5">
        <v>46180.0</v>
      </c>
      <c r="K2" s="5">
        <v>46181.0</v>
      </c>
      <c r="L2" s="5">
        <v>46182.0</v>
      </c>
      <c r="M2" s="5">
        <v>46183.0</v>
      </c>
      <c r="N2" s="5">
        <v>46184.0</v>
      </c>
      <c r="O2" s="5">
        <v>46185.0</v>
      </c>
      <c r="P2" s="5">
        <v>46186.0</v>
      </c>
      <c r="Q2" s="5">
        <v>46187.0</v>
      </c>
      <c r="R2" s="5">
        <v>46188.0</v>
      </c>
      <c r="S2" s="5">
        <v>46189.0</v>
      </c>
      <c r="T2" s="5">
        <v>46190.0</v>
      </c>
      <c r="U2" s="5">
        <v>46191.0</v>
      </c>
      <c r="V2" s="5">
        <v>46192.0</v>
      </c>
      <c r="W2" s="5">
        <v>46193.0</v>
      </c>
      <c r="X2" s="5">
        <v>46194.0</v>
      </c>
      <c r="Y2" s="5">
        <v>46195.0</v>
      </c>
      <c r="Z2" s="5">
        <v>46196.0</v>
      </c>
      <c r="AA2" s="5">
        <v>46197.0</v>
      </c>
      <c r="AB2" s="5">
        <v>46198.0</v>
      </c>
      <c r="AC2" s="5">
        <v>46199.0</v>
      </c>
      <c r="AD2" s="5">
        <v>46200.0</v>
      </c>
      <c r="AE2" s="5">
        <v>46201.0</v>
      </c>
      <c r="AF2" s="5">
        <v>46202.0</v>
      </c>
      <c r="AG2" s="5">
        <v>46203.0</v>
      </c>
      <c r="AH2" s="8" t="s">
        <v>3</v>
      </c>
      <c r="AI2" s="10" t="s">
        <v>4</v>
      </c>
      <c r="AJ2" s="12" t="s">
        <v>5</v>
      </c>
      <c r="AK2" s="14" t="s">
        <v>6</v>
      </c>
      <c r="AL2" s="16" t="s">
        <v>7</v>
      </c>
      <c r="AM2" s="18" t="s">
        <v>9</v>
      </c>
      <c r="AN2" s="19" t="s">
        <v>10</v>
      </c>
      <c r="AO2" s="21" t="s">
        <v>11</v>
      </c>
      <c r="AP2" s="22" t="s">
        <v>13</v>
      </c>
      <c r="AQ2" s="22" t="s">
        <v>14</v>
      </c>
      <c r="AR2" s="22" t="s">
        <v>15</v>
      </c>
      <c r="AS2" s="22" t="s">
        <v>16</v>
      </c>
      <c r="AT2" s="22" t="s">
        <v>17</v>
      </c>
    </row>
    <row r="3">
      <c r="A3" s="26"/>
      <c r="B3" s="26"/>
      <c r="C3" s="26"/>
      <c r="D3" s="28" t="s">
        <v>23</v>
      </c>
      <c r="E3" s="28" t="s">
        <v>25</v>
      </c>
      <c r="F3" s="28" t="s">
        <v>18</v>
      </c>
      <c r="G3" s="28" t="s">
        <v>19</v>
      </c>
      <c r="H3" s="28" t="s">
        <v>20</v>
      </c>
      <c r="I3" s="28" t="s">
        <v>21</v>
      </c>
      <c r="J3" s="29" t="s">
        <v>22</v>
      </c>
      <c r="K3" s="28" t="s">
        <v>24</v>
      </c>
      <c r="L3" s="28" t="s">
        <v>25</v>
      </c>
      <c r="M3" s="28" t="s">
        <v>18</v>
      </c>
      <c r="N3" s="28" t="s">
        <v>19</v>
      </c>
      <c r="O3" s="28" t="s">
        <v>20</v>
      </c>
      <c r="P3" s="28" t="s">
        <v>21</v>
      </c>
      <c r="Q3" s="29" t="s">
        <v>22</v>
      </c>
      <c r="R3" s="28" t="s">
        <v>24</v>
      </c>
      <c r="S3" s="28" t="s">
        <v>25</v>
      </c>
      <c r="T3" s="28" t="s">
        <v>18</v>
      </c>
      <c r="U3" s="28" t="s">
        <v>19</v>
      </c>
      <c r="V3" s="28" t="s">
        <v>20</v>
      </c>
      <c r="W3" s="28" t="s">
        <v>21</v>
      </c>
      <c r="X3" s="29" t="s">
        <v>22</v>
      </c>
      <c r="Y3" s="28" t="s">
        <v>24</v>
      </c>
      <c r="Z3" s="28" t="s">
        <v>25</v>
      </c>
      <c r="AA3" s="28" t="s">
        <v>18</v>
      </c>
      <c r="AB3" s="28" t="s">
        <v>19</v>
      </c>
      <c r="AC3" s="28" t="s">
        <v>20</v>
      </c>
      <c r="AD3" s="28" t="s">
        <v>21</v>
      </c>
      <c r="AE3" s="29" t="s">
        <v>22</v>
      </c>
      <c r="AF3" s="28" t="s">
        <v>24</v>
      </c>
      <c r="AG3" s="28" t="s">
        <v>25</v>
      </c>
      <c r="AH3" s="26"/>
      <c r="AI3" s="26"/>
      <c r="AJ3" s="26"/>
      <c r="AK3" s="26"/>
      <c r="AL3" s="26"/>
      <c r="AM3" s="26"/>
      <c r="AN3" s="33"/>
      <c r="AO3" s="37"/>
      <c r="AP3" s="37"/>
      <c r="AQ3" s="37"/>
      <c r="AR3" s="37"/>
      <c r="AS3" s="37"/>
      <c r="AT3" s="37"/>
    </row>
    <row r="4">
      <c r="A4" s="34">
        <v>1.0</v>
      </c>
      <c r="B4" s="35" t="s">
        <v>32</v>
      </c>
      <c r="C4" s="36" t="s">
        <v>33</v>
      </c>
      <c r="D4" s="40" t="s">
        <v>34</v>
      </c>
      <c r="E4" s="40" t="s">
        <v>34</v>
      </c>
      <c r="F4" s="40" t="s">
        <v>34</v>
      </c>
      <c r="G4" s="40" t="s">
        <v>6</v>
      </c>
      <c r="H4" s="40" t="s">
        <v>34</v>
      </c>
      <c r="I4" s="40" t="s">
        <v>34</v>
      </c>
      <c r="J4" s="41" t="s">
        <v>35</v>
      </c>
      <c r="K4" s="40" t="s">
        <v>34</v>
      </c>
      <c r="L4" s="40" t="s">
        <v>34</v>
      </c>
      <c r="M4" s="40" t="s">
        <v>34</v>
      </c>
      <c r="N4" s="40" t="s">
        <v>34</v>
      </c>
      <c r="O4" s="40" t="s">
        <v>34</v>
      </c>
      <c r="P4" s="40" t="s">
        <v>34</v>
      </c>
      <c r="Q4" s="41" t="s">
        <v>35</v>
      </c>
      <c r="R4" s="40" t="s">
        <v>34</v>
      </c>
      <c r="S4" s="40" t="s">
        <v>34</v>
      </c>
      <c r="T4" s="40" t="s">
        <v>34</v>
      </c>
      <c r="U4" s="40" t="s">
        <v>34</v>
      </c>
      <c r="V4" s="40" t="s">
        <v>34</v>
      </c>
      <c r="W4" s="40" t="s">
        <v>34</v>
      </c>
      <c r="X4" s="41" t="s">
        <v>35</v>
      </c>
      <c r="Y4" s="40" t="s">
        <v>34</v>
      </c>
      <c r="Z4" s="40" t="s">
        <v>34</v>
      </c>
      <c r="AA4" s="40" t="s">
        <v>34</v>
      </c>
      <c r="AB4" s="40" t="s">
        <v>34</v>
      </c>
      <c r="AC4" s="40" t="s">
        <v>34</v>
      </c>
      <c r="AD4" s="40" t="s">
        <v>34</v>
      </c>
      <c r="AE4" s="41" t="s">
        <v>35</v>
      </c>
      <c r="AF4" s="40" t="s">
        <v>34</v>
      </c>
      <c r="AG4" s="40" t="s">
        <v>34</v>
      </c>
      <c r="AH4" s="44">
        <f t="shared" ref="AH4:AH11" si="1">COUNTIF(D4:AG4,"P")</f>
        <v>25</v>
      </c>
      <c r="AI4" s="44">
        <f t="shared" ref="AI4:AI11" si="2">COUNTIF(D4:AG4,"A")</f>
        <v>0</v>
      </c>
      <c r="AJ4" s="44">
        <f t="shared" ref="AJ4:AJ11" si="3">COUNTIF(D4:AG4,"H")</f>
        <v>4</v>
      </c>
      <c r="AK4" s="44">
        <f t="shared" ref="AK4:AK11" si="4">COUNTIF(D4:AG4,"CL")</f>
        <v>1</v>
      </c>
      <c r="AL4" s="44">
        <f t="shared" ref="AL4:AL11" si="5">COUNTIF(D4:AG4,"PL")</f>
        <v>0</v>
      </c>
      <c r="AM4" s="44">
        <f t="shared" ref="AM4:AM11" si="6">COUNTIF(D4:AG4,"LOP")</f>
        <v>0</v>
      </c>
      <c r="AN4" s="49">
        <f t="shared" ref="AN4:AN11" si="7">SUM(AH4,AJ4,AK4,AL4)</f>
        <v>30</v>
      </c>
      <c r="AO4" s="51">
        <v>25000.0</v>
      </c>
      <c r="AP4" s="53">
        <f t="shared" ref="AP4:AP11" si="8">AO4/30*AN4</f>
        <v>25000</v>
      </c>
      <c r="AQ4" s="54">
        <v>200.0</v>
      </c>
      <c r="AR4" s="55">
        <f t="shared" ref="AR4:AR11" si="9">AP4-AQ4</f>
        <v>24800</v>
      </c>
      <c r="AS4" s="54">
        <v>0.0</v>
      </c>
      <c r="AT4" s="56">
        <f t="shared" ref="AT4:AT11" si="10">AR4+AS4</f>
        <v>24800</v>
      </c>
    </row>
    <row r="5">
      <c r="A5" s="34">
        <v>2.0</v>
      </c>
      <c r="B5" s="35" t="s">
        <v>36</v>
      </c>
      <c r="C5" s="36" t="s">
        <v>33</v>
      </c>
      <c r="D5" s="40" t="s">
        <v>34</v>
      </c>
      <c r="E5" s="40" t="s">
        <v>34</v>
      </c>
      <c r="F5" s="40" t="s">
        <v>34</v>
      </c>
      <c r="G5" s="40" t="s">
        <v>34</v>
      </c>
      <c r="H5" s="40" t="s">
        <v>34</v>
      </c>
      <c r="I5" s="40" t="s">
        <v>34</v>
      </c>
      <c r="J5" s="41" t="s">
        <v>35</v>
      </c>
      <c r="K5" s="40" t="s">
        <v>34</v>
      </c>
      <c r="L5" s="40" t="s">
        <v>34</v>
      </c>
      <c r="M5" s="40" t="s">
        <v>34</v>
      </c>
      <c r="N5" s="40" t="s">
        <v>34</v>
      </c>
      <c r="O5" s="40" t="s">
        <v>34</v>
      </c>
      <c r="P5" s="40" t="s">
        <v>34</v>
      </c>
      <c r="Q5" s="41" t="s">
        <v>35</v>
      </c>
      <c r="R5" s="41" t="s">
        <v>6</v>
      </c>
      <c r="S5" s="40" t="s">
        <v>34</v>
      </c>
      <c r="T5" s="40" t="s">
        <v>34</v>
      </c>
      <c r="U5" s="40" t="s">
        <v>34</v>
      </c>
      <c r="V5" s="40" t="s">
        <v>34</v>
      </c>
      <c r="W5" s="40" t="s">
        <v>34</v>
      </c>
      <c r="X5" s="41" t="s">
        <v>35</v>
      </c>
      <c r="Y5" s="40" t="s">
        <v>34</v>
      </c>
      <c r="Z5" s="40" t="s">
        <v>34</v>
      </c>
      <c r="AA5" s="40" t="s">
        <v>34</v>
      </c>
      <c r="AB5" s="40" t="s">
        <v>34</v>
      </c>
      <c r="AC5" s="40" t="s">
        <v>34</v>
      </c>
      <c r="AD5" s="40" t="s">
        <v>34</v>
      </c>
      <c r="AE5" s="41" t="s">
        <v>35</v>
      </c>
      <c r="AF5" s="40" t="s">
        <v>34</v>
      </c>
      <c r="AG5" s="41" t="s">
        <v>7</v>
      </c>
      <c r="AH5" s="44">
        <f t="shared" si="1"/>
        <v>24</v>
      </c>
      <c r="AI5" s="44">
        <f t="shared" si="2"/>
        <v>0</v>
      </c>
      <c r="AJ5" s="44">
        <f t="shared" si="3"/>
        <v>4</v>
      </c>
      <c r="AK5" s="44">
        <f t="shared" si="4"/>
        <v>1</v>
      </c>
      <c r="AL5" s="44">
        <f t="shared" si="5"/>
        <v>1</v>
      </c>
      <c r="AM5" s="44">
        <f t="shared" si="6"/>
        <v>0</v>
      </c>
      <c r="AN5" s="49">
        <f t="shared" si="7"/>
        <v>30</v>
      </c>
      <c r="AO5" s="51">
        <v>25000.0</v>
      </c>
      <c r="AP5" s="53">
        <f t="shared" si="8"/>
        <v>25000</v>
      </c>
      <c r="AQ5" s="54">
        <v>200.0</v>
      </c>
      <c r="AR5" s="55">
        <f t="shared" si="9"/>
        <v>24800</v>
      </c>
      <c r="AS5" s="54">
        <v>0.0</v>
      </c>
      <c r="AT5" s="56">
        <f t="shared" si="10"/>
        <v>24800</v>
      </c>
    </row>
    <row r="6">
      <c r="A6" s="34">
        <v>3.0</v>
      </c>
      <c r="B6" s="35" t="s">
        <v>37</v>
      </c>
      <c r="C6" s="36" t="s">
        <v>38</v>
      </c>
      <c r="D6" s="40" t="s">
        <v>34</v>
      </c>
      <c r="E6" s="40" t="s">
        <v>34</v>
      </c>
      <c r="F6" s="40" t="s">
        <v>34</v>
      </c>
      <c r="G6" s="40" t="s">
        <v>34</v>
      </c>
      <c r="H6" s="40" t="s">
        <v>34</v>
      </c>
      <c r="I6" s="40" t="s">
        <v>34</v>
      </c>
      <c r="J6" s="41" t="s">
        <v>35</v>
      </c>
      <c r="K6" s="40" t="s">
        <v>34</v>
      </c>
      <c r="L6" s="40" t="s">
        <v>34</v>
      </c>
      <c r="M6" s="40" t="s">
        <v>34</v>
      </c>
      <c r="N6" s="40" t="s">
        <v>34</v>
      </c>
      <c r="O6" s="40" t="s">
        <v>34</v>
      </c>
      <c r="P6" s="40" t="s">
        <v>34</v>
      </c>
      <c r="Q6" s="41" t="s">
        <v>35</v>
      </c>
      <c r="R6" s="40" t="s">
        <v>34</v>
      </c>
      <c r="S6" s="40" t="s">
        <v>34</v>
      </c>
      <c r="T6" s="40" t="s">
        <v>34</v>
      </c>
      <c r="U6" s="40" t="s">
        <v>34</v>
      </c>
      <c r="V6" s="40" t="s">
        <v>34</v>
      </c>
      <c r="W6" s="40" t="s">
        <v>34</v>
      </c>
      <c r="X6" s="41" t="s">
        <v>35</v>
      </c>
      <c r="Y6" s="40" t="s">
        <v>34</v>
      </c>
      <c r="Z6" s="40" t="s">
        <v>34</v>
      </c>
      <c r="AA6" s="40" t="s">
        <v>34</v>
      </c>
      <c r="AB6" s="40" t="s">
        <v>34</v>
      </c>
      <c r="AC6" s="40" t="s">
        <v>34</v>
      </c>
      <c r="AD6" s="40" t="s">
        <v>34</v>
      </c>
      <c r="AE6" s="41" t="s">
        <v>35</v>
      </c>
      <c r="AF6" s="40" t="s">
        <v>34</v>
      </c>
      <c r="AG6" s="40" t="s">
        <v>34</v>
      </c>
      <c r="AH6" s="44">
        <f t="shared" si="1"/>
        <v>26</v>
      </c>
      <c r="AI6" s="44">
        <f t="shared" si="2"/>
        <v>0</v>
      </c>
      <c r="AJ6" s="44">
        <f t="shared" si="3"/>
        <v>4</v>
      </c>
      <c r="AK6" s="44">
        <f t="shared" si="4"/>
        <v>0</v>
      </c>
      <c r="AL6" s="44">
        <f t="shared" si="5"/>
        <v>0</v>
      </c>
      <c r="AM6" s="44">
        <f t="shared" si="6"/>
        <v>0</v>
      </c>
      <c r="AN6" s="49">
        <f t="shared" si="7"/>
        <v>30</v>
      </c>
      <c r="AO6" s="51">
        <v>66666.0</v>
      </c>
      <c r="AP6" s="53">
        <f t="shared" si="8"/>
        <v>66666</v>
      </c>
      <c r="AQ6" s="54">
        <v>200.0</v>
      </c>
      <c r="AR6" s="55">
        <f t="shared" si="9"/>
        <v>66466</v>
      </c>
      <c r="AS6" s="54">
        <v>0.0</v>
      </c>
      <c r="AT6" s="56">
        <f t="shared" si="10"/>
        <v>66466</v>
      </c>
    </row>
    <row r="7">
      <c r="A7" s="34">
        <v>4.0</v>
      </c>
      <c r="B7" s="35" t="s">
        <v>41</v>
      </c>
      <c r="C7" s="36" t="s">
        <v>42</v>
      </c>
      <c r="D7" s="40" t="s">
        <v>34</v>
      </c>
      <c r="E7" s="40" t="s">
        <v>34</v>
      </c>
      <c r="F7" s="40" t="s">
        <v>34</v>
      </c>
      <c r="G7" s="40" t="s">
        <v>34</v>
      </c>
      <c r="H7" s="40" t="s">
        <v>34</v>
      </c>
      <c r="I7" s="40" t="s">
        <v>34</v>
      </c>
      <c r="J7" s="41" t="s">
        <v>35</v>
      </c>
      <c r="K7" s="40" t="s">
        <v>34</v>
      </c>
      <c r="L7" s="40" t="s">
        <v>34</v>
      </c>
      <c r="M7" s="40" t="s">
        <v>34</v>
      </c>
      <c r="N7" s="40" t="s">
        <v>34</v>
      </c>
      <c r="O7" s="40" t="s">
        <v>34</v>
      </c>
      <c r="P7" s="40" t="s">
        <v>34</v>
      </c>
      <c r="Q7" s="41" t="s">
        <v>35</v>
      </c>
      <c r="R7" s="40" t="s">
        <v>34</v>
      </c>
      <c r="S7" s="40" t="s">
        <v>34</v>
      </c>
      <c r="T7" s="40" t="s">
        <v>34</v>
      </c>
      <c r="U7" s="40" t="s">
        <v>34</v>
      </c>
      <c r="V7" s="40" t="s">
        <v>34</v>
      </c>
      <c r="W7" s="40" t="s">
        <v>34</v>
      </c>
      <c r="X7" s="41" t="s">
        <v>35</v>
      </c>
      <c r="Y7" s="40" t="s">
        <v>34</v>
      </c>
      <c r="Z7" s="40" t="s">
        <v>34</v>
      </c>
      <c r="AA7" s="40" t="s">
        <v>34</v>
      </c>
      <c r="AB7" s="40" t="s">
        <v>34</v>
      </c>
      <c r="AC7" s="40" t="s">
        <v>34</v>
      </c>
      <c r="AD7" s="40" t="s">
        <v>34</v>
      </c>
      <c r="AE7" s="41" t="s">
        <v>35</v>
      </c>
      <c r="AF7" s="40" t="s">
        <v>34</v>
      </c>
      <c r="AG7" s="40" t="s">
        <v>34</v>
      </c>
      <c r="AH7" s="44">
        <f t="shared" si="1"/>
        <v>26</v>
      </c>
      <c r="AI7" s="44">
        <f t="shared" si="2"/>
        <v>0</v>
      </c>
      <c r="AJ7" s="44">
        <f t="shared" si="3"/>
        <v>4</v>
      </c>
      <c r="AK7" s="44">
        <f t="shared" si="4"/>
        <v>0</v>
      </c>
      <c r="AL7" s="44">
        <f t="shared" si="5"/>
        <v>0</v>
      </c>
      <c r="AM7" s="44">
        <f t="shared" si="6"/>
        <v>0</v>
      </c>
      <c r="AN7" s="49">
        <f t="shared" si="7"/>
        <v>30</v>
      </c>
      <c r="AO7" s="51">
        <v>5000.0</v>
      </c>
      <c r="AP7" s="53">
        <f t="shared" si="8"/>
        <v>5000</v>
      </c>
      <c r="AQ7" s="54">
        <v>0.0</v>
      </c>
      <c r="AR7" s="55">
        <f t="shared" si="9"/>
        <v>5000</v>
      </c>
      <c r="AS7" s="54">
        <v>0.0</v>
      </c>
      <c r="AT7" s="56">
        <f t="shared" si="10"/>
        <v>5000</v>
      </c>
    </row>
    <row r="8">
      <c r="A8" s="34">
        <v>5.0</v>
      </c>
      <c r="B8" s="35" t="s">
        <v>45</v>
      </c>
      <c r="C8" s="36" t="s">
        <v>40</v>
      </c>
      <c r="D8" s="40" t="s">
        <v>34</v>
      </c>
      <c r="E8" s="40" t="s">
        <v>34</v>
      </c>
      <c r="F8" s="40" t="s">
        <v>34</v>
      </c>
      <c r="G8" s="40" t="s">
        <v>34</v>
      </c>
      <c r="H8" s="40" t="s">
        <v>34</v>
      </c>
      <c r="I8" s="40" t="s">
        <v>34</v>
      </c>
      <c r="J8" s="41" t="s">
        <v>35</v>
      </c>
      <c r="K8" s="40" t="s">
        <v>34</v>
      </c>
      <c r="L8" s="40" t="s">
        <v>34</v>
      </c>
      <c r="M8" s="40" t="s">
        <v>34</v>
      </c>
      <c r="N8" s="40" t="s">
        <v>34</v>
      </c>
      <c r="O8" s="40" t="s">
        <v>34</v>
      </c>
      <c r="P8" s="40" t="s">
        <v>34</v>
      </c>
      <c r="Q8" s="41" t="s">
        <v>35</v>
      </c>
      <c r="R8" s="40" t="s">
        <v>34</v>
      </c>
      <c r="S8" s="41" t="s">
        <v>7</v>
      </c>
      <c r="T8" s="40" t="s">
        <v>34</v>
      </c>
      <c r="U8" s="40" t="s">
        <v>34</v>
      </c>
      <c r="V8" s="40" t="s">
        <v>34</v>
      </c>
      <c r="W8" s="40" t="s">
        <v>34</v>
      </c>
      <c r="X8" s="41" t="s">
        <v>35</v>
      </c>
      <c r="Y8" s="40" t="s">
        <v>34</v>
      </c>
      <c r="Z8" s="40" t="s">
        <v>34</v>
      </c>
      <c r="AA8" s="40" t="s">
        <v>34</v>
      </c>
      <c r="AB8" s="40" t="s">
        <v>34</v>
      </c>
      <c r="AC8" s="40" t="s">
        <v>34</v>
      </c>
      <c r="AD8" s="40" t="s">
        <v>34</v>
      </c>
      <c r="AE8" s="41" t="s">
        <v>35</v>
      </c>
      <c r="AF8" s="40" t="s">
        <v>34</v>
      </c>
      <c r="AG8" s="41" t="s">
        <v>6</v>
      </c>
      <c r="AH8" s="44">
        <f t="shared" si="1"/>
        <v>24</v>
      </c>
      <c r="AI8" s="44">
        <f t="shared" si="2"/>
        <v>0</v>
      </c>
      <c r="AJ8" s="44">
        <f t="shared" si="3"/>
        <v>4</v>
      </c>
      <c r="AK8" s="44">
        <f t="shared" si="4"/>
        <v>1</v>
      </c>
      <c r="AL8" s="44">
        <f t="shared" si="5"/>
        <v>1</v>
      </c>
      <c r="AM8" s="44">
        <f t="shared" si="6"/>
        <v>0</v>
      </c>
      <c r="AN8" s="49">
        <f t="shared" si="7"/>
        <v>30</v>
      </c>
      <c r="AO8" s="51">
        <v>25000.0</v>
      </c>
      <c r="AP8" s="53">
        <f t="shared" si="8"/>
        <v>25000</v>
      </c>
      <c r="AQ8" s="54">
        <v>200.0</v>
      </c>
      <c r="AR8" s="55">
        <f t="shared" si="9"/>
        <v>24800</v>
      </c>
      <c r="AS8" s="54">
        <v>0.0</v>
      </c>
      <c r="AT8" s="56">
        <f t="shared" si="10"/>
        <v>24800</v>
      </c>
    </row>
    <row r="9">
      <c r="A9" s="34">
        <v>6.0</v>
      </c>
      <c r="B9" s="35" t="s">
        <v>47</v>
      </c>
      <c r="C9" s="36" t="s">
        <v>48</v>
      </c>
      <c r="D9" s="40" t="s">
        <v>34</v>
      </c>
      <c r="E9" s="40" t="s">
        <v>34</v>
      </c>
      <c r="F9" s="40" t="s">
        <v>34</v>
      </c>
      <c r="G9" s="40" t="s">
        <v>34</v>
      </c>
      <c r="H9" s="40" t="s">
        <v>34</v>
      </c>
      <c r="I9" s="40" t="s">
        <v>34</v>
      </c>
      <c r="J9" s="41" t="s">
        <v>35</v>
      </c>
      <c r="K9" s="40" t="s">
        <v>34</v>
      </c>
      <c r="L9" s="40" t="s">
        <v>34</v>
      </c>
      <c r="M9" s="41" t="s">
        <v>7</v>
      </c>
      <c r="N9" s="40" t="s">
        <v>34</v>
      </c>
      <c r="O9" s="40" t="s">
        <v>34</v>
      </c>
      <c r="P9" s="40" t="s">
        <v>34</v>
      </c>
      <c r="Q9" s="41" t="s">
        <v>35</v>
      </c>
      <c r="R9" s="40" t="s">
        <v>34</v>
      </c>
      <c r="S9" s="40" t="s">
        <v>34</v>
      </c>
      <c r="T9" s="40" t="s">
        <v>34</v>
      </c>
      <c r="U9" s="40" t="s">
        <v>34</v>
      </c>
      <c r="V9" s="40" t="s">
        <v>34</v>
      </c>
      <c r="W9" s="40" t="s">
        <v>34</v>
      </c>
      <c r="X9" s="41" t="s">
        <v>35</v>
      </c>
      <c r="Y9" s="40" t="s">
        <v>34</v>
      </c>
      <c r="Z9" s="40" t="s">
        <v>34</v>
      </c>
      <c r="AA9" s="40" t="s">
        <v>34</v>
      </c>
      <c r="AB9" s="40" t="s">
        <v>34</v>
      </c>
      <c r="AC9" s="40" t="s">
        <v>34</v>
      </c>
      <c r="AD9" s="40" t="s">
        <v>34</v>
      </c>
      <c r="AE9" s="41" t="s">
        <v>35</v>
      </c>
      <c r="AF9" s="40" t="s">
        <v>34</v>
      </c>
      <c r="AG9" s="40" t="s">
        <v>34</v>
      </c>
      <c r="AH9" s="44">
        <f t="shared" si="1"/>
        <v>25</v>
      </c>
      <c r="AI9" s="44">
        <f t="shared" si="2"/>
        <v>0</v>
      </c>
      <c r="AJ9" s="44">
        <f t="shared" si="3"/>
        <v>4</v>
      </c>
      <c r="AK9" s="44">
        <f t="shared" si="4"/>
        <v>0</v>
      </c>
      <c r="AL9" s="44">
        <f t="shared" si="5"/>
        <v>1</v>
      </c>
      <c r="AM9" s="44">
        <f t="shared" si="6"/>
        <v>0</v>
      </c>
      <c r="AN9" s="49">
        <f t="shared" si="7"/>
        <v>30</v>
      </c>
      <c r="AO9" s="51">
        <v>50000.0</v>
      </c>
      <c r="AP9" s="53">
        <f t="shared" si="8"/>
        <v>50000</v>
      </c>
      <c r="AQ9" s="54">
        <v>200.0</v>
      </c>
      <c r="AR9" s="55">
        <f t="shared" si="9"/>
        <v>49800</v>
      </c>
      <c r="AS9" s="54">
        <v>0.0</v>
      </c>
      <c r="AT9" s="56">
        <f t="shared" si="10"/>
        <v>49800</v>
      </c>
    </row>
    <row r="10">
      <c r="A10" s="34">
        <v>7.0</v>
      </c>
      <c r="B10" s="35" t="s">
        <v>51</v>
      </c>
      <c r="C10" s="36" t="s">
        <v>48</v>
      </c>
      <c r="D10" s="40" t="s">
        <v>34</v>
      </c>
      <c r="E10" s="40" t="s">
        <v>34</v>
      </c>
      <c r="F10" s="40" t="s">
        <v>34</v>
      </c>
      <c r="G10" s="40" t="s">
        <v>34</v>
      </c>
      <c r="H10" s="40" t="s">
        <v>34</v>
      </c>
      <c r="I10" s="40" t="s">
        <v>34</v>
      </c>
      <c r="J10" s="41" t="s">
        <v>35</v>
      </c>
      <c r="K10" s="41" t="s">
        <v>7</v>
      </c>
      <c r="L10" s="40" t="s">
        <v>34</v>
      </c>
      <c r="M10" s="40" t="s">
        <v>34</v>
      </c>
      <c r="N10" s="40" t="s">
        <v>34</v>
      </c>
      <c r="O10" s="40" t="s">
        <v>34</v>
      </c>
      <c r="P10" s="40" t="s">
        <v>34</v>
      </c>
      <c r="Q10" s="41" t="s">
        <v>35</v>
      </c>
      <c r="R10" s="40" t="s">
        <v>34</v>
      </c>
      <c r="S10" s="40" t="s">
        <v>34</v>
      </c>
      <c r="T10" s="40" t="s">
        <v>34</v>
      </c>
      <c r="U10" s="40" t="s">
        <v>34</v>
      </c>
      <c r="V10" s="40" t="s">
        <v>34</v>
      </c>
      <c r="W10" s="40" t="s">
        <v>34</v>
      </c>
      <c r="X10" s="41" t="s">
        <v>35</v>
      </c>
      <c r="Y10" s="40" t="s">
        <v>34</v>
      </c>
      <c r="Z10" s="40" t="s">
        <v>34</v>
      </c>
      <c r="AA10" s="40" t="s">
        <v>34</v>
      </c>
      <c r="AB10" s="40" t="s">
        <v>34</v>
      </c>
      <c r="AC10" s="40" t="s">
        <v>34</v>
      </c>
      <c r="AD10" s="40" t="s">
        <v>34</v>
      </c>
      <c r="AE10" s="41" t="s">
        <v>35</v>
      </c>
      <c r="AF10" s="40" t="s">
        <v>34</v>
      </c>
      <c r="AG10" s="40" t="s">
        <v>34</v>
      </c>
      <c r="AH10" s="44">
        <f t="shared" si="1"/>
        <v>25</v>
      </c>
      <c r="AI10" s="44">
        <f t="shared" si="2"/>
        <v>0</v>
      </c>
      <c r="AJ10" s="44">
        <f t="shared" si="3"/>
        <v>4</v>
      </c>
      <c r="AK10" s="44">
        <f t="shared" si="4"/>
        <v>0</v>
      </c>
      <c r="AL10" s="44">
        <f t="shared" si="5"/>
        <v>1</v>
      </c>
      <c r="AM10" s="44">
        <f t="shared" si="6"/>
        <v>0</v>
      </c>
      <c r="AN10" s="49">
        <f t="shared" si="7"/>
        <v>30</v>
      </c>
      <c r="AO10" s="51">
        <v>50000.0</v>
      </c>
      <c r="AP10" s="53">
        <f t="shared" si="8"/>
        <v>50000</v>
      </c>
      <c r="AQ10" s="54">
        <v>200.0</v>
      </c>
      <c r="AR10" s="55">
        <f t="shared" si="9"/>
        <v>49800</v>
      </c>
      <c r="AS10" s="54">
        <v>0.0</v>
      </c>
      <c r="AT10" s="56">
        <f t="shared" si="10"/>
        <v>49800</v>
      </c>
    </row>
    <row r="11">
      <c r="A11" s="34">
        <v>9.0</v>
      </c>
      <c r="B11" s="35" t="s">
        <v>55</v>
      </c>
      <c r="C11" s="36" t="s">
        <v>57</v>
      </c>
      <c r="D11" s="40" t="s">
        <v>34</v>
      </c>
      <c r="E11" s="40" t="s">
        <v>34</v>
      </c>
      <c r="F11" s="40" t="s">
        <v>34</v>
      </c>
      <c r="G11" s="40" t="s">
        <v>34</v>
      </c>
      <c r="H11" s="40" t="s">
        <v>34</v>
      </c>
      <c r="I11" s="40" t="s">
        <v>34</v>
      </c>
      <c r="J11" s="41" t="s">
        <v>35</v>
      </c>
      <c r="K11" s="40" t="s">
        <v>34</v>
      </c>
      <c r="L11" s="40" t="s">
        <v>34</v>
      </c>
      <c r="M11" s="40" t="s">
        <v>34</v>
      </c>
      <c r="N11" s="40" t="s">
        <v>34</v>
      </c>
      <c r="O11" s="40" t="s">
        <v>34</v>
      </c>
      <c r="P11" s="40" t="s">
        <v>34</v>
      </c>
      <c r="Q11" s="41" t="s">
        <v>35</v>
      </c>
      <c r="R11" s="40" t="s">
        <v>34</v>
      </c>
      <c r="S11" s="40" t="s">
        <v>34</v>
      </c>
      <c r="T11" s="40" t="s">
        <v>34</v>
      </c>
      <c r="U11" s="40" t="s">
        <v>34</v>
      </c>
      <c r="V11" s="40" t="s">
        <v>34</v>
      </c>
      <c r="W11" s="40" t="s">
        <v>34</v>
      </c>
      <c r="X11" s="41" t="s">
        <v>35</v>
      </c>
      <c r="Y11" s="40" t="s">
        <v>34</v>
      </c>
      <c r="Z11" s="40" t="s">
        <v>34</v>
      </c>
      <c r="AA11" s="40" t="s">
        <v>34</v>
      </c>
      <c r="AB11" s="40" t="s">
        <v>34</v>
      </c>
      <c r="AC11" s="40" t="s">
        <v>34</v>
      </c>
      <c r="AD11" s="40" t="s">
        <v>34</v>
      </c>
      <c r="AE11" s="41" t="s">
        <v>35</v>
      </c>
      <c r="AF11" s="40" t="s">
        <v>34</v>
      </c>
      <c r="AG11" s="40" t="s">
        <v>34</v>
      </c>
      <c r="AH11" s="44">
        <f t="shared" si="1"/>
        <v>26</v>
      </c>
      <c r="AI11" s="44">
        <f t="shared" si="2"/>
        <v>0</v>
      </c>
      <c r="AJ11" s="44">
        <f t="shared" si="3"/>
        <v>4</v>
      </c>
      <c r="AK11" s="44">
        <f t="shared" si="4"/>
        <v>0</v>
      </c>
      <c r="AL11" s="44">
        <f t="shared" si="5"/>
        <v>0</v>
      </c>
      <c r="AM11" s="44">
        <f t="shared" si="6"/>
        <v>0</v>
      </c>
      <c r="AN11" s="49">
        <f t="shared" si="7"/>
        <v>30</v>
      </c>
      <c r="AO11" s="51">
        <v>12000.0</v>
      </c>
      <c r="AP11" s="53">
        <f t="shared" si="8"/>
        <v>12000</v>
      </c>
      <c r="AQ11" s="54">
        <v>0.0</v>
      </c>
      <c r="AR11" s="55">
        <f t="shared" si="9"/>
        <v>12000</v>
      </c>
      <c r="AS11" s="54">
        <v>0.0</v>
      </c>
      <c r="AT11" s="56">
        <f t="shared" si="10"/>
        <v>12000</v>
      </c>
    </row>
    <row r="12">
      <c r="I12" s="70"/>
    </row>
  </sheetData>
  <mergeCells count="16">
    <mergeCell ref="A2:A3"/>
    <mergeCell ref="B2:B3"/>
    <mergeCell ref="C2:C3"/>
    <mergeCell ref="AH2:AH3"/>
    <mergeCell ref="AI2:AI3"/>
    <mergeCell ref="AJ2:AJ3"/>
    <mergeCell ref="AK2:AK3"/>
    <mergeCell ref="AS2:AS3"/>
    <mergeCell ref="AT2:AT3"/>
    <mergeCell ref="AL2:AL3"/>
    <mergeCell ref="AM2:AM3"/>
    <mergeCell ref="AN2:AN3"/>
    <mergeCell ref="AO2:AO3"/>
    <mergeCell ref="AP2:AP3"/>
    <mergeCell ref="AQ2:AQ3"/>
    <mergeCell ref="AR2:AR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4.25"/>
    <col customWidth="1" min="3" max="3" width="23.75"/>
    <col customWidth="1" min="41" max="41" width="13.0"/>
    <col customWidth="1" min="45" max="45" width="11.0"/>
    <col customWidth="1" min="46" max="46" width="14.38"/>
  </cols>
  <sheetData>
    <row r="2">
      <c r="A2" s="3" t="s">
        <v>0</v>
      </c>
      <c r="B2" s="3" t="s">
        <v>1</v>
      </c>
      <c r="C2" s="3" t="s">
        <v>2</v>
      </c>
      <c r="D2" s="5">
        <v>46204.0</v>
      </c>
      <c r="E2" s="5">
        <v>46205.0</v>
      </c>
      <c r="F2" s="5">
        <v>46206.0</v>
      </c>
      <c r="G2" s="5">
        <v>46207.0</v>
      </c>
      <c r="H2" s="5">
        <v>46208.0</v>
      </c>
      <c r="I2" s="5">
        <v>46209.0</v>
      </c>
      <c r="J2" s="5">
        <v>46210.0</v>
      </c>
      <c r="K2" s="5">
        <v>46211.0</v>
      </c>
      <c r="L2" s="5">
        <v>46212.0</v>
      </c>
      <c r="M2" s="5">
        <v>46213.0</v>
      </c>
      <c r="N2" s="5">
        <v>46214.0</v>
      </c>
      <c r="O2" s="5">
        <v>46215.0</v>
      </c>
      <c r="P2" s="5">
        <v>46216.0</v>
      </c>
      <c r="Q2" s="5">
        <v>46217.0</v>
      </c>
      <c r="R2" s="5">
        <v>46218.0</v>
      </c>
      <c r="S2" s="5">
        <v>46219.0</v>
      </c>
      <c r="T2" s="5">
        <v>46220.0</v>
      </c>
      <c r="U2" s="5">
        <v>46221.0</v>
      </c>
      <c r="V2" s="5">
        <v>46222.0</v>
      </c>
      <c r="W2" s="5">
        <v>46223.0</v>
      </c>
      <c r="X2" s="5">
        <v>46224.0</v>
      </c>
      <c r="Y2" s="5">
        <v>46225.0</v>
      </c>
      <c r="Z2" s="5">
        <v>46226.0</v>
      </c>
      <c r="AA2" s="5">
        <v>46227.0</v>
      </c>
      <c r="AB2" s="5">
        <v>46228.0</v>
      </c>
      <c r="AC2" s="5">
        <v>46229.0</v>
      </c>
      <c r="AD2" s="5">
        <v>46230.0</v>
      </c>
      <c r="AE2" s="5">
        <v>46231.0</v>
      </c>
      <c r="AF2" s="5">
        <v>46232.0</v>
      </c>
      <c r="AG2" s="5">
        <v>46233.0</v>
      </c>
      <c r="AH2" s="5">
        <v>46234.0</v>
      </c>
      <c r="AI2" s="8" t="s">
        <v>3</v>
      </c>
      <c r="AJ2" s="10" t="s">
        <v>4</v>
      </c>
      <c r="AK2" s="12" t="s">
        <v>5</v>
      </c>
      <c r="AL2" s="14" t="s">
        <v>6</v>
      </c>
      <c r="AM2" s="16" t="s">
        <v>12</v>
      </c>
      <c r="AN2" s="18" t="s">
        <v>9</v>
      </c>
      <c r="AO2" s="19" t="s">
        <v>10</v>
      </c>
      <c r="AP2" s="21" t="s">
        <v>11</v>
      </c>
      <c r="AQ2" s="22" t="s">
        <v>13</v>
      </c>
      <c r="AR2" s="22" t="s">
        <v>14</v>
      </c>
      <c r="AS2" s="22" t="s">
        <v>15</v>
      </c>
      <c r="AT2" s="22" t="s">
        <v>16</v>
      </c>
      <c r="AU2" s="22" t="s">
        <v>17</v>
      </c>
    </row>
    <row r="3">
      <c r="A3" s="26"/>
      <c r="B3" s="26"/>
      <c r="C3" s="26"/>
      <c r="D3" s="28" t="s">
        <v>26</v>
      </c>
      <c r="E3" s="28" t="s">
        <v>27</v>
      </c>
      <c r="F3" s="28" t="s">
        <v>20</v>
      </c>
      <c r="G3" s="28" t="s">
        <v>28</v>
      </c>
      <c r="H3" s="31" t="s">
        <v>22</v>
      </c>
      <c r="I3" s="28" t="s">
        <v>23</v>
      </c>
      <c r="J3" s="28" t="s">
        <v>29</v>
      </c>
      <c r="K3" s="28" t="s">
        <v>26</v>
      </c>
      <c r="L3" s="28" t="s">
        <v>27</v>
      </c>
      <c r="M3" s="28" t="s">
        <v>30</v>
      </c>
      <c r="N3" s="28" t="s">
        <v>28</v>
      </c>
      <c r="O3" s="31" t="s">
        <v>31</v>
      </c>
      <c r="P3" s="28" t="s">
        <v>23</v>
      </c>
      <c r="Q3" s="28" t="s">
        <v>29</v>
      </c>
      <c r="R3" s="28" t="s">
        <v>26</v>
      </c>
      <c r="S3" s="28" t="s">
        <v>27</v>
      </c>
      <c r="T3" s="28" t="s">
        <v>30</v>
      </c>
      <c r="U3" s="28" t="s">
        <v>28</v>
      </c>
      <c r="V3" s="29" t="s">
        <v>31</v>
      </c>
      <c r="W3" s="28" t="s">
        <v>23</v>
      </c>
      <c r="X3" s="28" t="s">
        <v>29</v>
      </c>
      <c r="Y3" s="28" t="s">
        <v>26</v>
      </c>
      <c r="Z3" s="28" t="s">
        <v>27</v>
      </c>
      <c r="AA3" s="28" t="s">
        <v>30</v>
      </c>
      <c r="AB3" s="28" t="s">
        <v>28</v>
      </c>
      <c r="AC3" s="29" t="s">
        <v>31</v>
      </c>
      <c r="AD3" s="28" t="s">
        <v>23</v>
      </c>
      <c r="AE3" s="28" t="s">
        <v>29</v>
      </c>
      <c r="AF3" s="28" t="s">
        <v>26</v>
      </c>
      <c r="AG3" s="28" t="s">
        <v>27</v>
      </c>
      <c r="AH3" s="28" t="s">
        <v>30</v>
      </c>
      <c r="AI3" s="26"/>
      <c r="AJ3" s="26"/>
      <c r="AK3" s="26"/>
      <c r="AL3" s="26"/>
      <c r="AM3" s="26"/>
      <c r="AN3" s="26"/>
      <c r="AO3" s="33"/>
      <c r="AP3" s="37"/>
      <c r="AQ3" s="37"/>
      <c r="AR3" s="37"/>
      <c r="AS3" s="37"/>
      <c r="AT3" s="37"/>
      <c r="AU3" s="37"/>
    </row>
    <row r="4">
      <c r="A4" s="34">
        <v>1.0</v>
      </c>
      <c r="B4" s="35" t="s">
        <v>32</v>
      </c>
      <c r="C4" s="36" t="s">
        <v>33</v>
      </c>
      <c r="D4" s="40" t="s">
        <v>34</v>
      </c>
      <c r="E4" s="40" t="s">
        <v>34</v>
      </c>
      <c r="F4" s="40" t="s">
        <v>34</v>
      </c>
      <c r="G4" s="40" t="s">
        <v>34</v>
      </c>
      <c r="H4" s="41" t="s">
        <v>35</v>
      </c>
      <c r="I4" s="40" t="s">
        <v>34</v>
      </c>
      <c r="J4" s="40" t="s">
        <v>34</v>
      </c>
      <c r="K4" s="40" t="s">
        <v>34</v>
      </c>
      <c r="L4" s="41" t="s">
        <v>6</v>
      </c>
      <c r="M4" s="40" t="s">
        <v>34</v>
      </c>
      <c r="N4" s="40" t="s">
        <v>34</v>
      </c>
      <c r="O4" s="41" t="s">
        <v>35</v>
      </c>
      <c r="P4" s="40" t="s">
        <v>34</v>
      </c>
      <c r="Q4" s="40" t="s">
        <v>34</v>
      </c>
      <c r="R4" s="40" t="s">
        <v>34</v>
      </c>
      <c r="S4" s="40" t="s">
        <v>34</v>
      </c>
      <c r="T4" s="40" t="s">
        <v>34</v>
      </c>
      <c r="U4" s="40" t="s">
        <v>34</v>
      </c>
      <c r="V4" s="41" t="s">
        <v>35</v>
      </c>
      <c r="W4" s="40" t="s">
        <v>34</v>
      </c>
      <c r="X4" s="40" t="s">
        <v>34</v>
      </c>
      <c r="Y4" s="40" t="s">
        <v>34</v>
      </c>
      <c r="Z4" s="40" t="s">
        <v>34</v>
      </c>
      <c r="AA4" s="41" t="s">
        <v>12</v>
      </c>
      <c r="AB4" s="40" t="s">
        <v>34</v>
      </c>
      <c r="AC4" s="41" t="s">
        <v>35</v>
      </c>
      <c r="AD4" s="40" t="s">
        <v>34</v>
      </c>
      <c r="AE4" s="40" t="s">
        <v>34</v>
      </c>
      <c r="AF4" s="40" t="s">
        <v>34</v>
      </c>
      <c r="AG4" s="40" t="s">
        <v>34</v>
      </c>
      <c r="AH4" s="40" t="s">
        <v>34</v>
      </c>
      <c r="AI4" s="44">
        <f t="shared" ref="AI4:AI14" si="1">COUNTIF(D4:AH4,"P")</f>
        <v>25</v>
      </c>
      <c r="AJ4" s="44">
        <f t="shared" ref="AJ4:AJ14" si="2">COUNTIF(D4:AG4,"A")</f>
        <v>0</v>
      </c>
      <c r="AK4" s="44">
        <f t="shared" ref="AK4:AK14" si="3">COUNTIF(D4:AG4,"H")</f>
        <v>4</v>
      </c>
      <c r="AL4" s="44">
        <f t="shared" ref="AL4:AL14" si="4">COUNTIF(D4:AG4,"CL")</f>
        <v>1</v>
      </c>
      <c r="AM4" s="44">
        <f>COUNTIF(D4:AG4,"EL")</f>
        <v>1</v>
      </c>
      <c r="AN4" s="44">
        <f t="shared" ref="AN4:AN8" si="5">COUNTIF(D4:AG4,"LOP")</f>
        <v>0</v>
      </c>
      <c r="AO4" s="49">
        <f t="shared" ref="AO4:AO14" si="6">SUM(AI4,AK4,AL4,AM4)</f>
        <v>31</v>
      </c>
      <c r="AP4" s="51">
        <v>25000.0</v>
      </c>
      <c r="AQ4" s="53">
        <f t="shared" ref="AQ4:AQ14" si="7">AP4/31*AO4</f>
        <v>25000</v>
      </c>
      <c r="AR4" s="54">
        <v>200.0</v>
      </c>
      <c r="AS4" s="55">
        <f t="shared" ref="AS4:AS14" si="8">AQ4-AR4</f>
        <v>24800</v>
      </c>
      <c r="AT4" s="54">
        <v>0.0</v>
      </c>
      <c r="AU4" s="56">
        <f t="shared" ref="AU4:AU14" si="9">AS4+AT4</f>
        <v>24800</v>
      </c>
    </row>
    <row r="5">
      <c r="A5" s="34">
        <v>2.0</v>
      </c>
      <c r="B5" s="35" t="s">
        <v>36</v>
      </c>
      <c r="C5" s="36" t="s">
        <v>33</v>
      </c>
      <c r="D5" s="40" t="s">
        <v>34</v>
      </c>
      <c r="E5" s="40" t="s">
        <v>34</v>
      </c>
      <c r="F5" s="40" t="s">
        <v>34</v>
      </c>
      <c r="G5" s="40" t="s">
        <v>34</v>
      </c>
      <c r="H5" s="41" t="s">
        <v>35</v>
      </c>
      <c r="I5" s="40" t="s">
        <v>34</v>
      </c>
      <c r="J5" s="40" t="s">
        <v>34</v>
      </c>
      <c r="K5" s="40" t="s">
        <v>34</v>
      </c>
      <c r="L5" s="40" t="s">
        <v>34</v>
      </c>
      <c r="M5" s="40" t="s">
        <v>34</v>
      </c>
      <c r="N5" s="40" t="s">
        <v>34</v>
      </c>
      <c r="O5" s="41" t="s">
        <v>35</v>
      </c>
      <c r="P5" s="40" t="s">
        <v>34</v>
      </c>
      <c r="Q5" s="40" t="s">
        <v>34</v>
      </c>
      <c r="R5" s="40" t="s">
        <v>34</v>
      </c>
      <c r="S5" s="40" t="s">
        <v>34</v>
      </c>
      <c r="T5" s="40" t="s">
        <v>34</v>
      </c>
      <c r="U5" s="41" t="s">
        <v>6</v>
      </c>
      <c r="V5" s="41" t="s">
        <v>12</v>
      </c>
      <c r="W5" s="41" t="s">
        <v>12</v>
      </c>
      <c r="X5" s="41" t="s">
        <v>12</v>
      </c>
      <c r="Y5" s="41" t="s">
        <v>9</v>
      </c>
      <c r="Z5" s="41" t="s">
        <v>9</v>
      </c>
      <c r="AA5" s="41" t="s">
        <v>9</v>
      </c>
      <c r="AB5" s="41" t="s">
        <v>9</v>
      </c>
      <c r="AC5" s="41" t="s">
        <v>9</v>
      </c>
      <c r="AD5" s="40" t="s">
        <v>34</v>
      </c>
      <c r="AE5" s="40" t="s">
        <v>34</v>
      </c>
      <c r="AF5" s="40" t="s">
        <v>34</v>
      </c>
      <c r="AG5" s="40" t="s">
        <v>34</v>
      </c>
      <c r="AH5" s="40" t="s">
        <v>34</v>
      </c>
      <c r="AI5" s="44">
        <f t="shared" si="1"/>
        <v>20</v>
      </c>
      <c r="AJ5" s="44">
        <f t="shared" si="2"/>
        <v>0</v>
      </c>
      <c r="AK5" s="44">
        <f t="shared" si="3"/>
        <v>2</v>
      </c>
      <c r="AL5" s="44">
        <f t="shared" si="4"/>
        <v>1</v>
      </c>
      <c r="AM5" s="44">
        <f t="shared" ref="AM5:AM14" si="10">COUNTIF(D5:AG5,"PL")</f>
        <v>0</v>
      </c>
      <c r="AN5" s="44">
        <f t="shared" si="5"/>
        <v>5</v>
      </c>
      <c r="AO5" s="49">
        <f t="shared" si="6"/>
        <v>23</v>
      </c>
      <c r="AP5" s="51">
        <v>25000.0</v>
      </c>
      <c r="AQ5" s="53">
        <f t="shared" si="7"/>
        <v>18548.3871</v>
      </c>
      <c r="AR5" s="54">
        <v>200.0</v>
      </c>
      <c r="AS5" s="62">
        <f t="shared" si="8"/>
        <v>18348.3871</v>
      </c>
      <c r="AT5" s="54">
        <v>0.0</v>
      </c>
      <c r="AU5" s="64">
        <f t="shared" si="9"/>
        <v>18348.3871</v>
      </c>
    </row>
    <row r="6">
      <c r="A6" s="34">
        <v>3.0</v>
      </c>
      <c r="B6" s="35" t="s">
        <v>37</v>
      </c>
      <c r="C6" s="36" t="s">
        <v>38</v>
      </c>
      <c r="D6" s="40" t="s">
        <v>34</v>
      </c>
      <c r="E6" s="40" t="s">
        <v>34</v>
      </c>
      <c r="F6" s="40" t="s">
        <v>34</v>
      </c>
      <c r="G6" s="40" t="s">
        <v>34</v>
      </c>
      <c r="H6" s="41" t="s">
        <v>35</v>
      </c>
      <c r="I6" s="40" t="s">
        <v>34</v>
      </c>
      <c r="J6" s="40" t="s">
        <v>34</v>
      </c>
      <c r="K6" s="40" t="s">
        <v>34</v>
      </c>
      <c r="L6" s="40" t="s">
        <v>34</v>
      </c>
      <c r="M6" s="40" t="s">
        <v>34</v>
      </c>
      <c r="N6" s="40" t="s">
        <v>34</v>
      </c>
      <c r="O6" s="41" t="s">
        <v>35</v>
      </c>
      <c r="P6" s="40" t="s">
        <v>34</v>
      </c>
      <c r="Q6" s="40" t="s">
        <v>34</v>
      </c>
      <c r="R6" s="40" t="s">
        <v>34</v>
      </c>
      <c r="S6" s="40" t="s">
        <v>34</v>
      </c>
      <c r="T6" s="40" t="s">
        <v>34</v>
      </c>
      <c r="U6" s="41" t="s">
        <v>6</v>
      </c>
      <c r="V6" s="41" t="s">
        <v>35</v>
      </c>
      <c r="W6" s="40" t="s">
        <v>34</v>
      </c>
      <c r="X6" s="40" t="s">
        <v>34</v>
      </c>
      <c r="Y6" s="40" t="s">
        <v>34</v>
      </c>
      <c r="Z6" s="40" t="s">
        <v>34</v>
      </c>
      <c r="AA6" s="40" t="s">
        <v>34</v>
      </c>
      <c r="AB6" s="40" t="s">
        <v>34</v>
      </c>
      <c r="AC6" s="41" t="s">
        <v>35</v>
      </c>
      <c r="AD6" s="40" t="s">
        <v>34</v>
      </c>
      <c r="AE6" s="40" t="s">
        <v>34</v>
      </c>
      <c r="AF6" s="40" t="s">
        <v>34</v>
      </c>
      <c r="AG6" s="40" t="s">
        <v>34</v>
      </c>
      <c r="AH6" s="40" t="s">
        <v>34</v>
      </c>
      <c r="AI6" s="44">
        <f t="shared" si="1"/>
        <v>26</v>
      </c>
      <c r="AJ6" s="44">
        <f t="shared" si="2"/>
        <v>0</v>
      </c>
      <c r="AK6" s="44">
        <f t="shared" si="3"/>
        <v>4</v>
      </c>
      <c r="AL6" s="44">
        <f t="shared" si="4"/>
        <v>1</v>
      </c>
      <c r="AM6" s="44">
        <f t="shared" si="10"/>
        <v>0</v>
      </c>
      <c r="AN6" s="44">
        <f t="shared" si="5"/>
        <v>0</v>
      </c>
      <c r="AO6" s="49">
        <f t="shared" si="6"/>
        <v>31</v>
      </c>
      <c r="AP6" s="68">
        <f>800000/12</f>
        <v>66666.66667</v>
      </c>
      <c r="AQ6" s="53">
        <f t="shared" si="7"/>
        <v>66666.66667</v>
      </c>
      <c r="AR6" s="54">
        <v>200.0</v>
      </c>
      <c r="AS6" s="62">
        <f t="shared" si="8"/>
        <v>66466.66667</v>
      </c>
      <c r="AT6" s="54">
        <v>0.0</v>
      </c>
      <c r="AU6" s="64">
        <f t="shared" si="9"/>
        <v>66466.66667</v>
      </c>
    </row>
    <row r="7">
      <c r="A7" s="34">
        <v>4.0</v>
      </c>
      <c r="B7" s="35" t="s">
        <v>41</v>
      </c>
      <c r="C7" s="36" t="s">
        <v>42</v>
      </c>
      <c r="D7" s="40" t="s">
        <v>34</v>
      </c>
      <c r="E7" s="40" t="s">
        <v>34</v>
      </c>
      <c r="F7" s="40" t="s">
        <v>34</v>
      </c>
      <c r="G7" s="40" t="s">
        <v>34</v>
      </c>
      <c r="H7" s="41" t="s">
        <v>35</v>
      </c>
      <c r="I7" s="40" t="s">
        <v>34</v>
      </c>
      <c r="J7" s="40" t="s">
        <v>34</v>
      </c>
      <c r="K7" s="40" t="s">
        <v>34</v>
      </c>
      <c r="L7" s="40" t="s">
        <v>34</v>
      </c>
      <c r="M7" s="40" t="s">
        <v>34</v>
      </c>
      <c r="N7" s="40" t="s">
        <v>34</v>
      </c>
      <c r="O7" s="41" t="s">
        <v>35</v>
      </c>
      <c r="P7" s="40" t="s">
        <v>34</v>
      </c>
      <c r="Q7" s="40" t="s">
        <v>34</v>
      </c>
      <c r="R7" s="40" t="s">
        <v>34</v>
      </c>
      <c r="S7" s="40" t="s">
        <v>34</v>
      </c>
      <c r="T7" s="40" t="s">
        <v>34</v>
      </c>
      <c r="U7" s="40" t="s">
        <v>34</v>
      </c>
      <c r="V7" s="41" t="s">
        <v>35</v>
      </c>
      <c r="W7" s="40" t="s">
        <v>34</v>
      </c>
      <c r="X7" s="40" t="s">
        <v>34</v>
      </c>
      <c r="Y7" s="40" t="s">
        <v>34</v>
      </c>
      <c r="Z7" s="40" t="s">
        <v>34</v>
      </c>
      <c r="AA7" s="40" t="s">
        <v>34</v>
      </c>
      <c r="AB7" s="40" t="s">
        <v>34</v>
      </c>
      <c r="AC7" s="41" t="s">
        <v>35</v>
      </c>
      <c r="AD7" s="40" t="s">
        <v>34</v>
      </c>
      <c r="AE7" s="40" t="s">
        <v>34</v>
      </c>
      <c r="AF7" s="40" t="s">
        <v>34</v>
      </c>
      <c r="AG7" s="40" t="s">
        <v>34</v>
      </c>
      <c r="AH7" s="40" t="s">
        <v>34</v>
      </c>
      <c r="AI7" s="44">
        <f t="shared" si="1"/>
        <v>27</v>
      </c>
      <c r="AJ7" s="44">
        <f t="shared" si="2"/>
        <v>0</v>
      </c>
      <c r="AK7" s="44">
        <f t="shared" si="3"/>
        <v>4</v>
      </c>
      <c r="AL7" s="44">
        <f t="shared" si="4"/>
        <v>0</v>
      </c>
      <c r="AM7" s="44">
        <f t="shared" si="10"/>
        <v>0</v>
      </c>
      <c r="AN7" s="44">
        <f t="shared" si="5"/>
        <v>0</v>
      </c>
      <c r="AO7" s="49">
        <f t="shared" si="6"/>
        <v>31</v>
      </c>
      <c r="AP7" s="51">
        <v>5000.0</v>
      </c>
      <c r="AQ7" s="53">
        <f t="shared" si="7"/>
        <v>5000</v>
      </c>
      <c r="AR7" s="54">
        <v>0.0</v>
      </c>
      <c r="AS7" s="55">
        <f t="shared" si="8"/>
        <v>5000</v>
      </c>
      <c r="AT7" s="54">
        <v>0.0</v>
      </c>
      <c r="AU7" s="56">
        <f t="shared" si="9"/>
        <v>5000</v>
      </c>
    </row>
    <row r="8">
      <c r="A8" s="34">
        <v>5.0</v>
      </c>
      <c r="B8" s="35" t="s">
        <v>45</v>
      </c>
      <c r="C8" s="36" t="s">
        <v>40</v>
      </c>
      <c r="D8" s="40" t="s">
        <v>34</v>
      </c>
      <c r="E8" s="40" t="s">
        <v>34</v>
      </c>
      <c r="F8" s="40" t="s">
        <v>34</v>
      </c>
      <c r="G8" s="40" t="s">
        <v>34</v>
      </c>
      <c r="H8" s="41" t="s">
        <v>35</v>
      </c>
      <c r="I8" s="40" t="s">
        <v>34</v>
      </c>
      <c r="J8" s="40" t="s">
        <v>34</v>
      </c>
      <c r="K8" s="40" t="s">
        <v>34</v>
      </c>
      <c r="L8" s="40" t="s">
        <v>34</v>
      </c>
      <c r="M8" s="40" t="s">
        <v>34</v>
      </c>
      <c r="N8" s="40" t="s">
        <v>34</v>
      </c>
      <c r="O8" s="41" t="s">
        <v>35</v>
      </c>
      <c r="P8" s="40" t="s">
        <v>34</v>
      </c>
      <c r="Q8" s="40" t="s">
        <v>34</v>
      </c>
      <c r="R8" s="40" t="s">
        <v>34</v>
      </c>
      <c r="S8" s="40" t="s">
        <v>34</v>
      </c>
      <c r="T8" s="40" t="s">
        <v>34</v>
      </c>
      <c r="U8" s="40" t="s">
        <v>34</v>
      </c>
      <c r="V8" s="41" t="s">
        <v>35</v>
      </c>
      <c r="W8" s="40" t="s">
        <v>34</v>
      </c>
      <c r="X8" s="40" t="s">
        <v>34</v>
      </c>
      <c r="Y8" s="40" t="s">
        <v>34</v>
      </c>
      <c r="Z8" s="40" t="s">
        <v>34</v>
      </c>
      <c r="AA8" s="40" t="s">
        <v>34</v>
      </c>
      <c r="AB8" s="40" t="s">
        <v>34</v>
      </c>
      <c r="AC8" s="41" t="s">
        <v>35</v>
      </c>
      <c r="AD8" s="40" t="s">
        <v>34</v>
      </c>
      <c r="AE8" s="40" t="s">
        <v>34</v>
      </c>
      <c r="AF8" s="40" t="s">
        <v>34</v>
      </c>
      <c r="AG8" s="41" t="s">
        <v>6</v>
      </c>
      <c r="AH8" s="40" t="s">
        <v>34</v>
      </c>
      <c r="AI8" s="44">
        <f t="shared" si="1"/>
        <v>26</v>
      </c>
      <c r="AJ8" s="44">
        <f t="shared" si="2"/>
        <v>0</v>
      </c>
      <c r="AK8" s="44">
        <f t="shared" si="3"/>
        <v>4</v>
      </c>
      <c r="AL8" s="44">
        <f t="shared" si="4"/>
        <v>1</v>
      </c>
      <c r="AM8" s="44">
        <f t="shared" si="10"/>
        <v>0</v>
      </c>
      <c r="AN8" s="44">
        <f t="shared" si="5"/>
        <v>0</v>
      </c>
      <c r="AO8" s="49">
        <f t="shared" si="6"/>
        <v>31</v>
      </c>
      <c r="AP8" s="51">
        <v>25000.0</v>
      </c>
      <c r="AQ8" s="53">
        <f t="shared" si="7"/>
        <v>25000</v>
      </c>
      <c r="AR8" s="54">
        <v>200.0</v>
      </c>
      <c r="AS8" s="55">
        <f t="shared" si="8"/>
        <v>24800</v>
      </c>
      <c r="AT8" s="54">
        <v>0.0</v>
      </c>
      <c r="AU8" s="56">
        <f t="shared" si="9"/>
        <v>24800</v>
      </c>
    </row>
    <row r="9">
      <c r="A9" s="34">
        <v>6.0</v>
      </c>
      <c r="B9" s="35" t="s">
        <v>47</v>
      </c>
      <c r="C9" s="36" t="s">
        <v>48</v>
      </c>
      <c r="D9" s="40" t="s">
        <v>34</v>
      </c>
      <c r="E9" s="40" t="s">
        <v>34</v>
      </c>
      <c r="F9" s="40" t="s">
        <v>34</v>
      </c>
      <c r="G9" s="40" t="s">
        <v>34</v>
      </c>
      <c r="H9" s="41" t="s">
        <v>35</v>
      </c>
      <c r="I9" s="40" t="s">
        <v>34</v>
      </c>
      <c r="J9" s="40" t="s">
        <v>34</v>
      </c>
      <c r="K9" s="40" t="s">
        <v>34</v>
      </c>
      <c r="L9" s="40" t="s">
        <v>34</v>
      </c>
      <c r="M9" s="40" t="s">
        <v>34</v>
      </c>
      <c r="N9" s="40" t="s">
        <v>34</v>
      </c>
      <c r="O9" s="41" t="s">
        <v>35</v>
      </c>
      <c r="P9" s="40" t="s">
        <v>34</v>
      </c>
      <c r="Q9" s="40" t="s">
        <v>34</v>
      </c>
      <c r="R9" s="40" t="s">
        <v>34</v>
      </c>
      <c r="S9" s="40" t="s">
        <v>34</v>
      </c>
      <c r="T9" s="40" t="s">
        <v>34</v>
      </c>
      <c r="U9" s="40" t="s">
        <v>34</v>
      </c>
      <c r="V9" s="41" t="s">
        <v>35</v>
      </c>
      <c r="W9" s="41" t="s">
        <v>9</v>
      </c>
      <c r="X9" s="40" t="s">
        <v>34</v>
      </c>
      <c r="Y9" s="40" t="s">
        <v>34</v>
      </c>
      <c r="Z9" s="40" t="s">
        <v>34</v>
      </c>
      <c r="AA9" s="40" t="s">
        <v>34</v>
      </c>
      <c r="AB9" s="40" t="s">
        <v>34</v>
      </c>
      <c r="AC9" s="41" t="s">
        <v>35</v>
      </c>
      <c r="AD9" s="40" t="s">
        <v>34</v>
      </c>
      <c r="AE9" s="40" t="s">
        <v>34</v>
      </c>
      <c r="AF9" s="40" t="s">
        <v>34</v>
      </c>
      <c r="AG9" s="40" t="s">
        <v>34</v>
      </c>
      <c r="AH9" s="41" t="s">
        <v>9</v>
      </c>
      <c r="AI9" s="44">
        <f t="shared" si="1"/>
        <v>25</v>
      </c>
      <c r="AJ9" s="44">
        <f t="shared" si="2"/>
        <v>0</v>
      </c>
      <c r="AK9" s="44">
        <f t="shared" si="3"/>
        <v>4</v>
      </c>
      <c r="AL9" s="44">
        <f t="shared" si="4"/>
        <v>0</v>
      </c>
      <c r="AM9" s="44">
        <f t="shared" si="10"/>
        <v>0</v>
      </c>
      <c r="AN9" s="40">
        <v>2.0</v>
      </c>
      <c r="AO9" s="49">
        <f t="shared" si="6"/>
        <v>29</v>
      </c>
      <c r="AP9" s="51">
        <v>50000.0</v>
      </c>
      <c r="AQ9" s="53">
        <f t="shared" si="7"/>
        <v>46774.19355</v>
      </c>
      <c r="AR9" s="54">
        <v>200.0</v>
      </c>
      <c r="AS9" s="62">
        <f t="shared" si="8"/>
        <v>46574.19355</v>
      </c>
      <c r="AT9" s="54">
        <v>0.0</v>
      </c>
      <c r="AU9" s="64">
        <f t="shared" si="9"/>
        <v>46574.19355</v>
      </c>
    </row>
    <row r="10">
      <c r="A10" s="34">
        <v>7.0</v>
      </c>
      <c r="B10" s="35" t="s">
        <v>51</v>
      </c>
      <c r="C10" s="36" t="s">
        <v>48</v>
      </c>
      <c r="D10" s="40" t="s">
        <v>34</v>
      </c>
      <c r="E10" s="41" t="s">
        <v>6</v>
      </c>
      <c r="F10" s="40" t="s">
        <v>34</v>
      </c>
      <c r="G10" s="40" t="s">
        <v>34</v>
      </c>
      <c r="H10" s="41" t="s">
        <v>35</v>
      </c>
      <c r="I10" s="40" t="s">
        <v>34</v>
      </c>
      <c r="J10" s="40" t="s">
        <v>34</v>
      </c>
      <c r="K10" s="40" t="s">
        <v>34</v>
      </c>
      <c r="L10" s="40" t="s">
        <v>34</v>
      </c>
      <c r="M10" s="40" t="s">
        <v>34</v>
      </c>
      <c r="N10" s="40" t="s">
        <v>34</v>
      </c>
      <c r="O10" s="41" t="s">
        <v>35</v>
      </c>
      <c r="P10" s="40" t="s">
        <v>34</v>
      </c>
      <c r="Q10" s="40" t="s">
        <v>34</v>
      </c>
      <c r="R10" s="40" t="s">
        <v>34</v>
      </c>
      <c r="S10" s="40" t="s">
        <v>34</v>
      </c>
      <c r="T10" s="40" t="s">
        <v>34</v>
      </c>
      <c r="U10" s="40" t="s">
        <v>34</v>
      </c>
      <c r="V10" s="41" t="s">
        <v>35</v>
      </c>
      <c r="W10" s="40" t="s">
        <v>34</v>
      </c>
      <c r="X10" s="40" t="s">
        <v>34</v>
      </c>
      <c r="Y10" s="40" t="s">
        <v>34</v>
      </c>
      <c r="Z10" s="40" t="s">
        <v>34</v>
      </c>
      <c r="AA10" s="40" t="s">
        <v>34</v>
      </c>
      <c r="AB10" s="40" t="s">
        <v>34</v>
      </c>
      <c r="AC10" s="41" t="s">
        <v>35</v>
      </c>
      <c r="AD10" s="40" t="s">
        <v>34</v>
      </c>
      <c r="AE10" s="40" t="s">
        <v>34</v>
      </c>
      <c r="AF10" s="40" t="s">
        <v>34</v>
      </c>
      <c r="AG10" s="40" t="s">
        <v>34</v>
      </c>
      <c r="AH10" s="40" t="s">
        <v>34</v>
      </c>
      <c r="AI10" s="44">
        <f t="shared" si="1"/>
        <v>26</v>
      </c>
      <c r="AJ10" s="44">
        <f t="shared" si="2"/>
        <v>0</v>
      </c>
      <c r="AK10" s="44">
        <f t="shared" si="3"/>
        <v>4</v>
      </c>
      <c r="AL10" s="44">
        <f t="shared" si="4"/>
        <v>1</v>
      </c>
      <c r="AM10" s="44">
        <f t="shared" si="10"/>
        <v>0</v>
      </c>
      <c r="AN10" s="44">
        <f t="shared" ref="AN10:AN14" si="11">COUNTIF(D10:AG10,"LOP")</f>
        <v>0</v>
      </c>
      <c r="AO10" s="49">
        <f t="shared" si="6"/>
        <v>31</v>
      </c>
      <c r="AP10" s="51">
        <v>50000.0</v>
      </c>
      <c r="AQ10" s="53">
        <f t="shared" si="7"/>
        <v>50000</v>
      </c>
      <c r="AR10" s="54">
        <v>200.0</v>
      </c>
      <c r="AS10" s="55">
        <f t="shared" si="8"/>
        <v>49800</v>
      </c>
      <c r="AT10" s="54">
        <v>0.0</v>
      </c>
      <c r="AU10" s="56">
        <f t="shared" si="9"/>
        <v>49800</v>
      </c>
    </row>
    <row r="11">
      <c r="A11" s="34">
        <v>8.0</v>
      </c>
      <c r="B11" s="35" t="s">
        <v>55</v>
      </c>
      <c r="C11" s="36" t="s">
        <v>57</v>
      </c>
      <c r="D11" s="40" t="s">
        <v>34</v>
      </c>
      <c r="E11" s="40" t="s">
        <v>34</v>
      </c>
      <c r="F11" s="40" t="s">
        <v>34</v>
      </c>
      <c r="G11" s="40" t="s">
        <v>34</v>
      </c>
      <c r="H11" s="41" t="s">
        <v>35</v>
      </c>
      <c r="I11" s="40" t="s">
        <v>34</v>
      </c>
      <c r="J11" s="40" t="s">
        <v>34</v>
      </c>
      <c r="K11" s="40" t="s">
        <v>34</v>
      </c>
      <c r="L11" s="40" t="s">
        <v>34</v>
      </c>
      <c r="M11" s="40" t="s">
        <v>34</v>
      </c>
      <c r="N11" s="40" t="s">
        <v>34</v>
      </c>
      <c r="O11" s="41" t="s">
        <v>35</v>
      </c>
      <c r="P11" s="40" t="s">
        <v>34</v>
      </c>
      <c r="Q11" s="40" t="s">
        <v>34</v>
      </c>
      <c r="R11" s="40" t="s">
        <v>34</v>
      </c>
      <c r="S11" s="40" t="s">
        <v>34</v>
      </c>
      <c r="T11" s="40" t="s">
        <v>34</v>
      </c>
      <c r="U11" s="40" t="s">
        <v>34</v>
      </c>
      <c r="V11" s="41" t="s">
        <v>35</v>
      </c>
      <c r="W11" s="40" t="s">
        <v>34</v>
      </c>
      <c r="X11" s="40" t="s">
        <v>34</v>
      </c>
      <c r="Y11" s="40" t="s">
        <v>34</v>
      </c>
      <c r="Z11" s="40" t="s">
        <v>34</v>
      </c>
      <c r="AA11" s="40" t="s">
        <v>34</v>
      </c>
      <c r="AB11" s="40" t="s">
        <v>34</v>
      </c>
      <c r="AC11" s="41" t="s">
        <v>35</v>
      </c>
      <c r="AD11" s="40" t="s">
        <v>34</v>
      </c>
      <c r="AE11" s="40" t="s">
        <v>34</v>
      </c>
      <c r="AF11" s="40" t="s">
        <v>34</v>
      </c>
      <c r="AG11" s="40" t="s">
        <v>34</v>
      </c>
      <c r="AH11" s="40" t="s">
        <v>34</v>
      </c>
      <c r="AI11" s="44">
        <f t="shared" si="1"/>
        <v>27</v>
      </c>
      <c r="AJ11" s="44">
        <f t="shared" si="2"/>
        <v>0</v>
      </c>
      <c r="AK11" s="44">
        <f t="shared" si="3"/>
        <v>4</v>
      </c>
      <c r="AL11" s="44">
        <f t="shared" si="4"/>
        <v>0</v>
      </c>
      <c r="AM11" s="44">
        <f t="shared" si="10"/>
        <v>0</v>
      </c>
      <c r="AN11" s="44">
        <f t="shared" si="11"/>
        <v>0</v>
      </c>
      <c r="AO11" s="49">
        <f t="shared" si="6"/>
        <v>31</v>
      </c>
      <c r="AP11" s="51">
        <v>12000.0</v>
      </c>
      <c r="AQ11" s="53">
        <f t="shared" si="7"/>
        <v>12000</v>
      </c>
      <c r="AR11" s="54">
        <v>0.0</v>
      </c>
      <c r="AS11" s="55">
        <f t="shared" si="8"/>
        <v>12000</v>
      </c>
      <c r="AT11" s="54">
        <v>0.0</v>
      </c>
      <c r="AU11" s="56">
        <f t="shared" si="9"/>
        <v>12000</v>
      </c>
    </row>
    <row r="12">
      <c r="A12" s="34">
        <v>9.0</v>
      </c>
      <c r="B12" s="35" t="s">
        <v>64</v>
      </c>
      <c r="C12" s="36" t="s">
        <v>65</v>
      </c>
      <c r="D12" s="40" t="s">
        <v>34</v>
      </c>
      <c r="E12" s="72" t="s">
        <v>34</v>
      </c>
      <c r="F12" s="40" t="s">
        <v>34</v>
      </c>
      <c r="G12" s="40" t="s">
        <v>34</v>
      </c>
      <c r="H12" s="41" t="s">
        <v>35</v>
      </c>
      <c r="I12" s="40" t="s">
        <v>34</v>
      </c>
      <c r="J12" s="40" t="s">
        <v>34</v>
      </c>
      <c r="K12" s="40" t="s">
        <v>34</v>
      </c>
      <c r="L12" s="40" t="s">
        <v>34</v>
      </c>
      <c r="M12" s="40" t="s">
        <v>34</v>
      </c>
      <c r="N12" s="40" t="s">
        <v>34</v>
      </c>
      <c r="O12" s="41" t="s">
        <v>35</v>
      </c>
      <c r="P12" s="40" t="s">
        <v>34</v>
      </c>
      <c r="Q12" s="40" t="s">
        <v>34</v>
      </c>
      <c r="R12" s="40" t="s">
        <v>34</v>
      </c>
      <c r="S12" s="40" t="s">
        <v>34</v>
      </c>
      <c r="T12" s="40" t="s">
        <v>34</v>
      </c>
      <c r="U12" s="40" t="s">
        <v>34</v>
      </c>
      <c r="V12" s="41" t="s">
        <v>35</v>
      </c>
      <c r="W12" s="40" t="s">
        <v>34</v>
      </c>
      <c r="X12" s="40" t="s">
        <v>34</v>
      </c>
      <c r="Y12" s="40" t="s">
        <v>34</v>
      </c>
      <c r="Z12" s="40" t="s">
        <v>34</v>
      </c>
      <c r="AA12" s="40" t="s">
        <v>34</v>
      </c>
      <c r="AB12" s="40" t="s">
        <v>34</v>
      </c>
      <c r="AC12" s="41" t="s">
        <v>35</v>
      </c>
      <c r="AD12" s="40" t="s">
        <v>34</v>
      </c>
      <c r="AE12" s="40" t="s">
        <v>34</v>
      </c>
      <c r="AF12" s="40" t="s">
        <v>34</v>
      </c>
      <c r="AG12" s="40" t="s">
        <v>34</v>
      </c>
      <c r="AH12" s="40" t="s">
        <v>34</v>
      </c>
      <c r="AI12" s="44">
        <f t="shared" si="1"/>
        <v>27</v>
      </c>
      <c r="AJ12" s="44">
        <f t="shared" si="2"/>
        <v>0</v>
      </c>
      <c r="AK12" s="44">
        <f t="shared" si="3"/>
        <v>4</v>
      </c>
      <c r="AL12" s="44">
        <f t="shared" si="4"/>
        <v>0</v>
      </c>
      <c r="AM12" s="44">
        <f t="shared" si="10"/>
        <v>0</v>
      </c>
      <c r="AN12" s="44">
        <f t="shared" si="11"/>
        <v>0</v>
      </c>
      <c r="AO12" s="49">
        <f t="shared" si="6"/>
        <v>31</v>
      </c>
      <c r="AP12" s="74">
        <v>10000.0</v>
      </c>
      <c r="AQ12" s="53">
        <f t="shared" si="7"/>
        <v>10000</v>
      </c>
      <c r="AR12" s="54">
        <v>0.0</v>
      </c>
      <c r="AS12" s="55">
        <f t="shared" si="8"/>
        <v>10000</v>
      </c>
      <c r="AT12" s="54">
        <v>0.0</v>
      </c>
      <c r="AU12" s="56">
        <f t="shared" si="9"/>
        <v>10000</v>
      </c>
    </row>
    <row r="13">
      <c r="A13" s="34">
        <v>10.0</v>
      </c>
      <c r="B13" s="35" t="s">
        <v>66</v>
      </c>
      <c r="C13" s="36" t="s">
        <v>67</v>
      </c>
      <c r="D13" s="40" t="s">
        <v>34</v>
      </c>
      <c r="E13" s="72" t="s">
        <v>34</v>
      </c>
      <c r="F13" s="40" t="s">
        <v>34</v>
      </c>
      <c r="G13" s="40" t="s">
        <v>34</v>
      </c>
      <c r="H13" s="41" t="s">
        <v>35</v>
      </c>
      <c r="I13" s="40" t="s">
        <v>34</v>
      </c>
      <c r="J13" s="40" t="s">
        <v>34</v>
      </c>
      <c r="K13" s="40" t="s">
        <v>34</v>
      </c>
      <c r="L13" s="40" t="s">
        <v>34</v>
      </c>
      <c r="M13" s="40" t="s">
        <v>34</v>
      </c>
      <c r="N13" s="40" t="s">
        <v>34</v>
      </c>
      <c r="O13" s="41" t="s">
        <v>35</v>
      </c>
      <c r="P13" s="40" t="s">
        <v>34</v>
      </c>
      <c r="Q13" s="40" t="s">
        <v>34</v>
      </c>
      <c r="R13" s="40" t="s">
        <v>34</v>
      </c>
      <c r="S13" s="40" t="s">
        <v>34</v>
      </c>
      <c r="T13" s="40" t="s">
        <v>34</v>
      </c>
      <c r="U13" s="40" t="s">
        <v>34</v>
      </c>
      <c r="V13" s="41" t="s">
        <v>35</v>
      </c>
      <c r="W13" s="40" t="s">
        <v>34</v>
      </c>
      <c r="X13" s="40" t="s">
        <v>34</v>
      </c>
      <c r="Y13" s="40" t="s">
        <v>34</v>
      </c>
      <c r="Z13" s="40" t="s">
        <v>34</v>
      </c>
      <c r="AA13" s="40" t="s">
        <v>34</v>
      </c>
      <c r="AB13" s="40" t="s">
        <v>34</v>
      </c>
      <c r="AC13" s="41" t="s">
        <v>35</v>
      </c>
      <c r="AD13" s="40" t="s">
        <v>34</v>
      </c>
      <c r="AE13" s="40" t="s">
        <v>34</v>
      </c>
      <c r="AF13" s="40" t="s">
        <v>34</v>
      </c>
      <c r="AG13" s="40" t="s">
        <v>34</v>
      </c>
      <c r="AH13" s="40" t="s">
        <v>34</v>
      </c>
      <c r="AI13" s="44">
        <f t="shared" si="1"/>
        <v>27</v>
      </c>
      <c r="AJ13" s="44">
        <f t="shared" si="2"/>
        <v>0</v>
      </c>
      <c r="AK13" s="44">
        <f t="shared" si="3"/>
        <v>4</v>
      </c>
      <c r="AL13" s="44">
        <f t="shared" si="4"/>
        <v>0</v>
      </c>
      <c r="AM13" s="44">
        <f t="shared" si="10"/>
        <v>0</v>
      </c>
      <c r="AN13" s="44">
        <f t="shared" si="11"/>
        <v>0</v>
      </c>
      <c r="AO13" s="49">
        <f t="shared" si="6"/>
        <v>31</v>
      </c>
      <c r="AP13" s="76">
        <v>10000.0</v>
      </c>
      <c r="AQ13" s="53">
        <f t="shared" si="7"/>
        <v>10000</v>
      </c>
      <c r="AR13" s="78">
        <v>0.0</v>
      </c>
      <c r="AS13" s="80">
        <f t="shared" si="8"/>
        <v>10000</v>
      </c>
      <c r="AT13" s="78">
        <v>0.0</v>
      </c>
      <c r="AU13" s="82">
        <f t="shared" si="9"/>
        <v>10000</v>
      </c>
    </row>
    <row r="14">
      <c r="A14" s="34">
        <v>12.0</v>
      </c>
      <c r="B14" s="35" t="s">
        <v>68</v>
      </c>
      <c r="C14" s="36" t="s">
        <v>69</v>
      </c>
      <c r="D14" s="72" t="s">
        <v>61</v>
      </c>
      <c r="E14" s="72" t="s">
        <v>61</v>
      </c>
      <c r="F14" s="72" t="s">
        <v>61</v>
      </c>
      <c r="G14" s="72" t="s">
        <v>61</v>
      </c>
      <c r="H14" s="72" t="s">
        <v>61</v>
      </c>
      <c r="I14" s="72" t="s">
        <v>61</v>
      </c>
      <c r="J14" s="72" t="s">
        <v>61</v>
      </c>
      <c r="K14" s="72" t="s">
        <v>61</v>
      </c>
      <c r="L14" s="72" t="s">
        <v>61</v>
      </c>
      <c r="M14" s="72" t="s">
        <v>61</v>
      </c>
      <c r="N14" s="72" t="s">
        <v>61</v>
      </c>
      <c r="O14" s="72" t="s">
        <v>61</v>
      </c>
      <c r="P14" s="72" t="s">
        <v>61</v>
      </c>
      <c r="Q14" s="72" t="s">
        <v>61</v>
      </c>
      <c r="R14" s="72" t="s">
        <v>61</v>
      </c>
      <c r="S14" s="72" t="s">
        <v>61</v>
      </c>
      <c r="T14" s="72" t="s">
        <v>61</v>
      </c>
      <c r="U14" s="72" t="s">
        <v>61</v>
      </c>
      <c r="V14" s="72" t="s">
        <v>61</v>
      </c>
      <c r="W14" s="72" t="s">
        <v>61</v>
      </c>
      <c r="X14" s="72" t="s">
        <v>61</v>
      </c>
      <c r="Y14" s="72" t="s">
        <v>61</v>
      </c>
      <c r="Z14" s="72" t="s">
        <v>61</v>
      </c>
      <c r="AA14" s="72" t="s">
        <v>61</v>
      </c>
      <c r="AB14" s="72" t="s">
        <v>61</v>
      </c>
      <c r="AC14" s="72" t="s">
        <v>61</v>
      </c>
      <c r="AD14" s="72" t="s">
        <v>61</v>
      </c>
      <c r="AE14" s="72" t="s">
        <v>61</v>
      </c>
      <c r="AF14" s="72" t="s">
        <v>34</v>
      </c>
      <c r="AG14" s="72" t="s">
        <v>34</v>
      </c>
      <c r="AH14" s="72" t="s">
        <v>34</v>
      </c>
      <c r="AI14" s="44">
        <f t="shared" si="1"/>
        <v>3</v>
      </c>
      <c r="AJ14" s="44">
        <f t="shared" si="2"/>
        <v>28</v>
      </c>
      <c r="AK14" s="44">
        <f t="shared" si="3"/>
        <v>0</v>
      </c>
      <c r="AL14" s="44">
        <f t="shared" si="4"/>
        <v>0</v>
      </c>
      <c r="AM14" s="44">
        <f t="shared" si="10"/>
        <v>0</v>
      </c>
      <c r="AN14" s="44">
        <f t="shared" si="11"/>
        <v>0</v>
      </c>
      <c r="AO14" s="49">
        <f t="shared" si="6"/>
        <v>3</v>
      </c>
      <c r="AP14" s="74">
        <v>10000.0</v>
      </c>
      <c r="AQ14" s="53">
        <f t="shared" si="7"/>
        <v>967.7419355</v>
      </c>
      <c r="AR14" s="84">
        <v>0.0</v>
      </c>
      <c r="AS14" s="55">
        <f t="shared" si="8"/>
        <v>967.7419355</v>
      </c>
      <c r="AT14" s="54">
        <v>0.0</v>
      </c>
      <c r="AU14" s="56">
        <f t="shared" si="9"/>
        <v>967.7419355</v>
      </c>
    </row>
    <row r="20">
      <c r="A20" s="87">
        <v>11.0</v>
      </c>
      <c r="B20" s="89" t="s">
        <v>72</v>
      </c>
      <c r="C20" s="91" t="s">
        <v>73</v>
      </c>
      <c r="D20" s="92" t="s">
        <v>61</v>
      </c>
      <c r="E20" s="92" t="s">
        <v>61</v>
      </c>
      <c r="F20" s="92" t="s">
        <v>61</v>
      </c>
      <c r="G20" s="92" t="s">
        <v>61</v>
      </c>
      <c r="H20" s="92" t="s">
        <v>61</v>
      </c>
      <c r="I20" s="92" t="s">
        <v>61</v>
      </c>
      <c r="J20" s="92" t="s">
        <v>61</v>
      </c>
      <c r="K20" s="92" t="s">
        <v>61</v>
      </c>
      <c r="L20" s="92" t="s">
        <v>61</v>
      </c>
      <c r="M20" s="92" t="s">
        <v>61</v>
      </c>
      <c r="N20" s="92" t="s">
        <v>61</v>
      </c>
      <c r="O20" s="92" t="s">
        <v>61</v>
      </c>
      <c r="P20" s="92" t="s">
        <v>61</v>
      </c>
      <c r="Q20" s="92" t="s">
        <v>61</v>
      </c>
      <c r="R20" s="92" t="s">
        <v>34</v>
      </c>
      <c r="S20" s="92" t="s">
        <v>34</v>
      </c>
      <c r="T20" s="92" t="s">
        <v>34</v>
      </c>
      <c r="U20" s="93" t="s">
        <v>9</v>
      </c>
      <c r="V20" s="93" t="s">
        <v>35</v>
      </c>
      <c r="W20" s="94" t="s">
        <v>34</v>
      </c>
      <c r="X20" s="92" t="s">
        <v>34</v>
      </c>
      <c r="Y20" s="94" t="s">
        <v>34</v>
      </c>
      <c r="Z20" s="94" t="s">
        <v>34</v>
      </c>
      <c r="AA20" s="93" t="s">
        <v>9</v>
      </c>
      <c r="AB20" s="93" t="s">
        <v>9</v>
      </c>
      <c r="AC20" s="93" t="s">
        <v>35</v>
      </c>
      <c r="AD20" s="96" t="s">
        <v>9</v>
      </c>
      <c r="AE20" s="96" t="s">
        <v>9</v>
      </c>
      <c r="AF20" s="96" t="s">
        <v>9</v>
      </c>
      <c r="AG20" s="96" t="s">
        <v>9</v>
      </c>
      <c r="AH20" s="96" t="s">
        <v>9</v>
      </c>
      <c r="AI20" s="98">
        <f>COUNTIF(D20:AH20,"P")</f>
        <v>7</v>
      </c>
      <c r="AJ20" s="98">
        <f>COUNTIF(D20:AG20,"A")</f>
        <v>14</v>
      </c>
      <c r="AK20" s="98">
        <f>COUNTIF(D20:AG20,"H")</f>
        <v>2</v>
      </c>
      <c r="AL20" s="98">
        <f>COUNTIF(D20:AG20,"CL")</f>
        <v>0</v>
      </c>
      <c r="AM20" s="98">
        <f>COUNTIF(D20:AG20,"PL")</f>
        <v>0</v>
      </c>
      <c r="AN20" s="98">
        <f>COUNTIF(D20:AG20,"LOP")</f>
        <v>7</v>
      </c>
      <c r="AO20" s="101">
        <f>SUM(AI20,AK20,AL20,AM20)</f>
        <v>9</v>
      </c>
      <c r="AP20" s="102">
        <v>30000.0</v>
      </c>
      <c r="AQ20" s="103">
        <f>AP20/31*AO20</f>
        <v>8709.677419</v>
      </c>
      <c r="AR20" s="105">
        <v>200.0</v>
      </c>
      <c r="AS20" s="106">
        <f>AQ20-AR20</f>
        <v>8509.677419</v>
      </c>
      <c r="AT20" s="106">
        <v>0.0</v>
      </c>
      <c r="AU20" s="108">
        <f>AS20+AT20</f>
        <v>8509.677419</v>
      </c>
    </row>
  </sheetData>
  <mergeCells count="16">
    <mergeCell ref="A2:A3"/>
    <mergeCell ref="B2:B3"/>
    <mergeCell ref="C2:C3"/>
    <mergeCell ref="AI2:AI3"/>
    <mergeCell ref="AJ2:AJ3"/>
    <mergeCell ref="AK2:AK3"/>
    <mergeCell ref="AL2:AL3"/>
    <mergeCell ref="AT2:AT3"/>
    <mergeCell ref="AU2:AU3"/>
    <mergeCell ref="AM2:AM3"/>
    <mergeCell ref="AN2:AN3"/>
    <mergeCell ref="AO2:AO3"/>
    <mergeCell ref="AP2:AP3"/>
    <mergeCell ref="AQ2:AQ3"/>
    <mergeCell ref="AR2:AR3"/>
    <mergeCell ref="AS2:A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88"/>
    <col customWidth="1" min="2" max="2" width="18.75"/>
    <col customWidth="1" min="3" max="3" width="29.75"/>
  </cols>
  <sheetData>
    <row r="1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</row>
    <row r="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</row>
    <row r="3">
      <c r="A3" s="113" t="s">
        <v>0</v>
      </c>
      <c r="B3" s="113" t="s">
        <v>1</v>
      </c>
      <c r="C3" s="113" t="s">
        <v>2</v>
      </c>
      <c r="D3" s="5">
        <v>46235.0</v>
      </c>
      <c r="E3" s="5">
        <v>46236.0</v>
      </c>
      <c r="F3" s="5">
        <v>46237.0</v>
      </c>
      <c r="G3" s="5">
        <v>46238.0</v>
      </c>
      <c r="H3" s="5">
        <v>46239.0</v>
      </c>
      <c r="I3" s="5">
        <v>46240.0</v>
      </c>
      <c r="J3" s="5">
        <v>46241.0</v>
      </c>
      <c r="K3" s="5">
        <v>46242.0</v>
      </c>
      <c r="L3" s="5">
        <v>46243.0</v>
      </c>
      <c r="M3" s="5">
        <v>46244.0</v>
      </c>
      <c r="N3" s="5">
        <v>46245.0</v>
      </c>
      <c r="O3" s="5">
        <v>46246.0</v>
      </c>
      <c r="P3" s="5">
        <v>46247.0</v>
      </c>
      <c r="Q3" s="5">
        <v>46248.0</v>
      </c>
      <c r="R3" s="5">
        <v>46249.0</v>
      </c>
      <c r="S3" s="5">
        <v>46250.0</v>
      </c>
      <c r="T3" s="5">
        <v>46251.0</v>
      </c>
      <c r="U3" s="5">
        <v>46252.0</v>
      </c>
      <c r="V3" s="5">
        <v>46253.0</v>
      </c>
      <c r="W3" s="5">
        <v>46254.0</v>
      </c>
      <c r="X3" s="5">
        <v>46255.0</v>
      </c>
      <c r="Y3" s="5">
        <v>46256.0</v>
      </c>
      <c r="Z3" s="5">
        <v>46257.0</v>
      </c>
      <c r="AA3" s="5">
        <v>46258.0</v>
      </c>
      <c r="AB3" s="5">
        <v>46259.0</v>
      </c>
      <c r="AC3" s="5">
        <v>46260.0</v>
      </c>
      <c r="AD3" s="5">
        <v>46261.0</v>
      </c>
      <c r="AE3" s="5">
        <v>46262.0</v>
      </c>
      <c r="AF3" s="5">
        <v>46263.0</v>
      </c>
      <c r="AG3" s="5">
        <v>46264.0</v>
      </c>
      <c r="AH3" s="5">
        <v>46265.0</v>
      </c>
      <c r="AI3" s="8" t="s">
        <v>3</v>
      </c>
      <c r="AJ3" s="10" t="s">
        <v>4</v>
      </c>
      <c r="AK3" s="12" t="s">
        <v>5</v>
      </c>
      <c r="AL3" s="14" t="s">
        <v>6</v>
      </c>
      <c r="AM3" s="16" t="s">
        <v>12</v>
      </c>
      <c r="AN3" s="18" t="s">
        <v>9</v>
      </c>
      <c r="AO3" s="19" t="s">
        <v>10</v>
      </c>
      <c r="AP3" s="21" t="s">
        <v>11</v>
      </c>
      <c r="AQ3" s="22" t="s">
        <v>81</v>
      </c>
      <c r="AR3" s="22" t="s">
        <v>13</v>
      </c>
      <c r="AS3" s="22" t="s">
        <v>14</v>
      </c>
      <c r="AT3" s="22" t="s">
        <v>15</v>
      </c>
      <c r="AU3" s="22" t="s">
        <v>16</v>
      </c>
      <c r="AV3" s="22" t="s">
        <v>17</v>
      </c>
    </row>
    <row r="4">
      <c r="A4" s="26"/>
      <c r="B4" s="26"/>
      <c r="C4" s="26"/>
      <c r="D4" s="28" t="s">
        <v>21</v>
      </c>
      <c r="E4" s="114" t="s">
        <v>22</v>
      </c>
      <c r="F4" s="28" t="s">
        <v>24</v>
      </c>
      <c r="G4" s="28" t="s">
        <v>25</v>
      </c>
      <c r="H4" s="28" t="s">
        <v>18</v>
      </c>
      <c r="I4" s="28" t="s">
        <v>19</v>
      </c>
      <c r="J4" s="28" t="s">
        <v>20</v>
      </c>
      <c r="K4" s="28" t="s">
        <v>21</v>
      </c>
      <c r="L4" s="114" t="s">
        <v>22</v>
      </c>
      <c r="M4" s="28" t="s">
        <v>24</v>
      </c>
      <c r="N4" s="28" t="s">
        <v>25</v>
      </c>
      <c r="O4" s="28" t="s">
        <v>18</v>
      </c>
      <c r="P4" s="28" t="s">
        <v>19</v>
      </c>
      <c r="Q4" s="28" t="s">
        <v>20</v>
      </c>
      <c r="R4" s="28" t="s">
        <v>21</v>
      </c>
      <c r="S4" s="114" t="s">
        <v>22</v>
      </c>
      <c r="T4" s="28" t="s">
        <v>24</v>
      </c>
      <c r="U4" s="28" t="s">
        <v>25</v>
      </c>
      <c r="V4" s="28" t="s">
        <v>18</v>
      </c>
      <c r="W4" s="28" t="s">
        <v>19</v>
      </c>
      <c r="X4" s="28" t="s">
        <v>20</v>
      </c>
      <c r="Y4" s="28" t="s">
        <v>21</v>
      </c>
      <c r="Z4" s="114" t="s">
        <v>22</v>
      </c>
      <c r="AA4" s="28" t="s">
        <v>24</v>
      </c>
      <c r="AB4" s="28" t="s">
        <v>25</v>
      </c>
      <c r="AC4" s="28" t="s">
        <v>18</v>
      </c>
      <c r="AD4" s="28" t="s">
        <v>19</v>
      </c>
      <c r="AE4" s="28" t="s">
        <v>20</v>
      </c>
      <c r="AF4" s="28" t="s">
        <v>21</v>
      </c>
      <c r="AG4" s="114" t="s">
        <v>22</v>
      </c>
      <c r="AH4" s="28" t="s">
        <v>24</v>
      </c>
      <c r="AI4" s="26"/>
      <c r="AJ4" s="26"/>
      <c r="AK4" s="26"/>
      <c r="AL4" s="26"/>
      <c r="AM4" s="26"/>
      <c r="AN4" s="26"/>
      <c r="AO4" s="33"/>
      <c r="AP4" s="37"/>
      <c r="AQ4" s="37"/>
      <c r="AR4" s="37"/>
      <c r="AS4" s="37"/>
      <c r="AT4" s="37"/>
      <c r="AU4" s="37"/>
      <c r="AV4" s="37"/>
    </row>
    <row r="5">
      <c r="A5" s="115">
        <v>1.0</v>
      </c>
      <c r="B5" s="116" t="s">
        <v>32</v>
      </c>
      <c r="C5" s="117" t="s">
        <v>33</v>
      </c>
      <c r="D5" s="41" t="s">
        <v>6</v>
      </c>
      <c r="E5" s="41" t="s">
        <v>35</v>
      </c>
      <c r="F5" s="40" t="s">
        <v>34</v>
      </c>
      <c r="G5" s="118" t="s">
        <v>34</v>
      </c>
      <c r="H5" s="40" t="s">
        <v>34</v>
      </c>
      <c r="I5" s="40" t="s">
        <v>34</v>
      </c>
      <c r="J5" s="40" t="s">
        <v>34</v>
      </c>
      <c r="K5" s="40" t="s">
        <v>34</v>
      </c>
      <c r="L5" s="41" t="s">
        <v>35</v>
      </c>
      <c r="M5" s="40" t="s">
        <v>34</v>
      </c>
      <c r="N5" s="118" t="s">
        <v>34</v>
      </c>
      <c r="O5" s="40" t="s">
        <v>34</v>
      </c>
      <c r="P5" s="40" t="s">
        <v>34</v>
      </c>
      <c r="Q5" s="40" t="s">
        <v>34</v>
      </c>
      <c r="R5" s="41" t="s">
        <v>35</v>
      </c>
      <c r="S5" s="41" t="s">
        <v>35</v>
      </c>
      <c r="T5" s="40" t="s">
        <v>34</v>
      </c>
      <c r="U5" s="118" t="s">
        <v>34</v>
      </c>
      <c r="V5" s="40" t="s">
        <v>34</v>
      </c>
      <c r="W5" s="40" t="s">
        <v>34</v>
      </c>
      <c r="X5" s="40" t="s">
        <v>34</v>
      </c>
      <c r="Y5" s="40" t="s">
        <v>34</v>
      </c>
      <c r="Z5" s="41" t="s">
        <v>35</v>
      </c>
      <c r="AA5" s="118" t="s">
        <v>34</v>
      </c>
      <c r="AB5" s="118" t="s">
        <v>34</v>
      </c>
      <c r="AC5" s="40" t="s">
        <v>34</v>
      </c>
      <c r="AD5" s="40" t="s">
        <v>34</v>
      </c>
      <c r="AE5" s="40" t="s">
        <v>34</v>
      </c>
      <c r="AF5" s="40" t="s">
        <v>34</v>
      </c>
      <c r="AG5" s="41" t="s">
        <v>35</v>
      </c>
      <c r="AH5" s="40" t="s">
        <v>34</v>
      </c>
      <c r="AI5" s="44">
        <f t="shared" ref="AI5:AI19" si="1">COUNTIF(D5:AH5,"P")</f>
        <v>24</v>
      </c>
      <c r="AJ5" s="44">
        <f t="shared" ref="AJ5:AJ19" si="2">COUNTIF(D5:AG5,"A")</f>
        <v>0</v>
      </c>
      <c r="AK5" s="44">
        <f t="shared" ref="AK5:AK19" si="3">COUNTIF(D5:AG5,"H")</f>
        <v>6</v>
      </c>
      <c r="AL5" s="44">
        <f t="shared" ref="AL5:AL19" si="4">COUNTIF(D5:AG5,"CL")</f>
        <v>1</v>
      </c>
      <c r="AM5" s="44">
        <f t="shared" ref="AM5:AM19" si="5">COUNTIF(D5:AG5,"EL")</f>
        <v>0</v>
      </c>
      <c r="AN5" s="44">
        <f t="shared" ref="AN5:AN19" si="6">COUNTIF(D5:AG5,"LOP")</f>
        <v>0</v>
      </c>
      <c r="AO5" s="119">
        <f t="shared" ref="AO5:AO19" si="7">sum(AI5,AK5,AL5,AM5)</f>
        <v>31</v>
      </c>
      <c r="AP5" s="51">
        <v>25000.0</v>
      </c>
      <c r="AQ5" s="53">
        <f t="shared" ref="AQ5:AQ19" si="8">AP5/31</f>
        <v>806.4516129</v>
      </c>
      <c r="AR5" s="53">
        <f t="shared" ref="AR5:AR19" si="9">AP5/31*AO5</f>
        <v>25000</v>
      </c>
      <c r="AS5" s="54">
        <v>200.0</v>
      </c>
      <c r="AT5" s="62">
        <f t="shared" ref="AT5:AT19" si="10">AR5-AS5</f>
        <v>24800</v>
      </c>
      <c r="AU5" s="53">
        <v>0.0</v>
      </c>
      <c r="AV5" s="64">
        <f t="shared" ref="AV5:AV19" si="11">AT5+AU5</f>
        <v>24800</v>
      </c>
    </row>
    <row r="6">
      <c r="A6" s="115">
        <v>2.0</v>
      </c>
      <c r="B6" s="116" t="s">
        <v>36</v>
      </c>
      <c r="C6" s="117" t="s">
        <v>33</v>
      </c>
      <c r="D6" s="40" t="s">
        <v>34</v>
      </c>
      <c r="E6" s="41" t="s">
        <v>35</v>
      </c>
      <c r="F6" s="41" t="s">
        <v>6</v>
      </c>
      <c r="G6" s="118" t="s">
        <v>34</v>
      </c>
      <c r="H6" s="40" t="s">
        <v>34</v>
      </c>
      <c r="I6" s="40" t="s">
        <v>34</v>
      </c>
      <c r="J6" s="40" t="s">
        <v>34</v>
      </c>
      <c r="K6" s="40" t="s">
        <v>34</v>
      </c>
      <c r="L6" s="41" t="s">
        <v>35</v>
      </c>
      <c r="M6" s="40" t="s">
        <v>34</v>
      </c>
      <c r="N6" s="118" t="s">
        <v>34</v>
      </c>
      <c r="O6" s="40" t="s">
        <v>34</v>
      </c>
      <c r="P6" s="40" t="s">
        <v>34</v>
      </c>
      <c r="Q6" s="40" t="s">
        <v>34</v>
      </c>
      <c r="R6" s="41" t="s">
        <v>35</v>
      </c>
      <c r="S6" s="41" t="s">
        <v>35</v>
      </c>
      <c r="T6" s="40" t="s">
        <v>34</v>
      </c>
      <c r="U6" s="118" t="s">
        <v>34</v>
      </c>
      <c r="V6" s="40" t="s">
        <v>34</v>
      </c>
      <c r="W6" s="40" t="s">
        <v>34</v>
      </c>
      <c r="X6" s="40" t="s">
        <v>34</v>
      </c>
      <c r="Y6" s="40" t="s">
        <v>34</v>
      </c>
      <c r="Z6" s="41" t="s">
        <v>35</v>
      </c>
      <c r="AA6" s="118" t="s">
        <v>34</v>
      </c>
      <c r="AB6" s="118" t="s">
        <v>34</v>
      </c>
      <c r="AC6" s="40" t="s">
        <v>34</v>
      </c>
      <c r="AD6" s="40" t="s">
        <v>34</v>
      </c>
      <c r="AE6" s="40" t="s">
        <v>34</v>
      </c>
      <c r="AF6" s="40" t="s">
        <v>34</v>
      </c>
      <c r="AG6" s="41" t="s">
        <v>35</v>
      </c>
      <c r="AH6" s="40" t="s">
        <v>34</v>
      </c>
      <c r="AI6" s="44">
        <f t="shared" si="1"/>
        <v>24</v>
      </c>
      <c r="AJ6" s="44">
        <f t="shared" si="2"/>
        <v>0</v>
      </c>
      <c r="AK6" s="44">
        <f t="shared" si="3"/>
        <v>6</v>
      </c>
      <c r="AL6" s="44">
        <f t="shared" si="4"/>
        <v>1</v>
      </c>
      <c r="AM6" s="44">
        <f t="shared" si="5"/>
        <v>0</v>
      </c>
      <c r="AN6" s="44">
        <f t="shared" si="6"/>
        <v>0</v>
      </c>
      <c r="AO6" s="119">
        <f t="shared" si="7"/>
        <v>31</v>
      </c>
      <c r="AP6" s="51">
        <v>25000.0</v>
      </c>
      <c r="AQ6" s="53">
        <f t="shared" si="8"/>
        <v>806.4516129</v>
      </c>
      <c r="AR6" s="53">
        <f t="shared" si="9"/>
        <v>25000</v>
      </c>
      <c r="AS6" s="54">
        <v>200.0</v>
      </c>
      <c r="AT6" s="62">
        <f t="shared" si="10"/>
        <v>24800</v>
      </c>
      <c r="AU6" s="53">
        <v>0.0</v>
      </c>
      <c r="AV6" s="64">
        <f t="shared" si="11"/>
        <v>24800</v>
      </c>
    </row>
    <row r="7">
      <c r="A7" s="115">
        <v>3.0</v>
      </c>
      <c r="B7" s="116" t="s">
        <v>41</v>
      </c>
      <c r="C7" s="117" t="s">
        <v>42</v>
      </c>
      <c r="D7" s="40" t="s">
        <v>34</v>
      </c>
      <c r="E7" s="41" t="s">
        <v>35</v>
      </c>
      <c r="F7" s="40" t="s">
        <v>34</v>
      </c>
      <c r="G7" s="118" t="s">
        <v>34</v>
      </c>
      <c r="H7" s="41" t="s">
        <v>6</v>
      </c>
      <c r="I7" s="40" t="s">
        <v>34</v>
      </c>
      <c r="J7" s="40" t="s">
        <v>34</v>
      </c>
      <c r="K7" s="40" t="s">
        <v>34</v>
      </c>
      <c r="L7" s="41" t="s">
        <v>35</v>
      </c>
      <c r="M7" s="40" t="s">
        <v>34</v>
      </c>
      <c r="N7" s="118" t="s">
        <v>34</v>
      </c>
      <c r="O7" s="40" t="s">
        <v>34</v>
      </c>
      <c r="P7" s="40" t="s">
        <v>34</v>
      </c>
      <c r="Q7" s="40" t="s">
        <v>34</v>
      </c>
      <c r="R7" s="41" t="s">
        <v>35</v>
      </c>
      <c r="S7" s="41" t="s">
        <v>35</v>
      </c>
      <c r="T7" s="40" t="s">
        <v>34</v>
      </c>
      <c r="U7" s="121" t="s">
        <v>9</v>
      </c>
      <c r="V7" s="40" t="s">
        <v>34</v>
      </c>
      <c r="W7" s="40" t="s">
        <v>34</v>
      </c>
      <c r="X7" s="40" t="s">
        <v>34</v>
      </c>
      <c r="Y7" s="40" t="s">
        <v>34</v>
      </c>
      <c r="Z7" s="41" t="s">
        <v>35</v>
      </c>
      <c r="AA7" s="118" t="s">
        <v>34</v>
      </c>
      <c r="AB7" s="118" t="s">
        <v>34</v>
      </c>
      <c r="AC7" s="40" t="s">
        <v>34</v>
      </c>
      <c r="AD7" s="40" t="s">
        <v>34</v>
      </c>
      <c r="AE7" s="41" t="s">
        <v>9</v>
      </c>
      <c r="AF7" s="40" t="s">
        <v>34</v>
      </c>
      <c r="AG7" s="41" t="s">
        <v>35</v>
      </c>
      <c r="AH7" s="40" t="s">
        <v>34</v>
      </c>
      <c r="AI7" s="44">
        <f t="shared" si="1"/>
        <v>22</v>
      </c>
      <c r="AJ7" s="44">
        <f t="shared" si="2"/>
        <v>0</v>
      </c>
      <c r="AK7" s="44">
        <f t="shared" si="3"/>
        <v>6</v>
      </c>
      <c r="AL7" s="44">
        <f t="shared" si="4"/>
        <v>1</v>
      </c>
      <c r="AM7" s="44">
        <f t="shared" si="5"/>
        <v>0</v>
      </c>
      <c r="AN7" s="44">
        <f t="shared" si="6"/>
        <v>2</v>
      </c>
      <c r="AO7" s="119">
        <f t="shared" si="7"/>
        <v>29</v>
      </c>
      <c r="AP7" s="51">
        <v>7000.0</v>
      </c>
      <c r="AQ7" s="53">
        <f t="shared" si="8"/>
        <v>225.8064516</v>
      </c>
      <c r="AR7" s="53">
        <f t="shared" si="9"/>
        <v>6548.387097</v>
      </c>
      <c r="AS7" s="54">
        <v>0.0</v>
      </c>
      <c r="AT7" s="62">
        <f t="shared" si="10"/>
        <v>6548.387097</v>
      </c>
      <c r="AU7" s="53">
        <v>0.0</v>
      </c>
      <c r="AV7" s="64">
        <f t="shared" si="11"/>
        <v>6548.387097</v>
      </c>
    </row>
    <row r="8">
      <c r="A8" s="115">
        <v>4.0</v>
      </c>
      <c r="B8" s="116" t="s">
        <v>45</v>
      </c>
      <c r="C8" s="117" t="s">
        <v>83</v>
      </c>
      <c r="D8" s="40" t="s">
        <v>34</v>
      </c>
      <c r="E8" s="41" t="s">
        <v>35</v>
      </c>
      <c r="F8" s="40" t="s">
        <v>34</v>
      </c>
      <c r="G8" s="118" t="s">
        <v>34</v>
      </c>
      <c r="H8" s="40" t="s">
        <v>34</v>
      </c>
      <c r="I8" s="40" t="s">
        <v>34</v>
      </c>
      <c r="J8" s="40" t="s">
        <v>34</v>
      </c>
      <c r="K8" s="40" t="s">
        <v>34</v>
      </c>
      <c r="L8" s="41" t="s">
        <v>35</v>
      </c>
      <c r="M8" s="40" t="s">
        <v>34</v>
      </c>
      <c r="N8" s="118" t="s">
        <v>34</v>
      </c>
      <c r="O8" s="40" t="s">
        <v>34</v>
      </c>
      <c r="P8" s="40" t="s">
        <v>34</v>
      </c>
      <c r="Q8" s="40" t="s">
        <v>34</v>
      </c>
      <c r="R8" s="41" t="s">
        <v>35</v>
      </c>
      <c r="S8" s="41" t="s">
        <v>35</v>
      </c>
      <c r="T8" s="40" t="s">
        <v>34</v>
      </c>
      <c r="U8" s="118" t="s">
        <v>34</v>
      </c>
      <c r="V8" s="40" t="s">
        <v>34</v>
      </c>
      <c r="W8" s="40" t="s">
        <v>34</v>
      </c>
      <c r="X8" s="40" t="s">
        <v>34</v>
      </c>
      <c r="Y8" s="40" t="s">
        <v>34</v>
      </c>
      <c r="Z8" s="41" t="s">
        <v>35</v>
      </c>
      <c r="AA8" s="118" t="s">
        <v>34</v>
      </c>
      <c r="AB8" s="118" t="s">
        <v>34</v>
      </c>
      <c r="AC8" s="40" t="s">
        <v>34</v>
      </c>
      <c r="AD8" s="40" t="s">
        <v>34</v>
      </c>
      <c r="AE8" s="41" t="s">
        <v>6</v>
      </c>
      <c r="AF8" s="40" t="s">
        <v>34</v>
      </c>
      <c r="AG8" s="41" t="s">
        <v>35</v>
      </c>
      <c r="AH8" s="40" t="s">
        <v>34</v>
      </c>
      <c r="AI8" s="44">
        <f t="shared" si="1"/>
        <v>24</v>
      </c>
      <c r="AJ8" s="44">
        <f t="shared" si="2"/>
        <v>0</v>
      </c>
      <c r="AK8" s="44">
        <f t="shared" si="3"/>
        <v>6</v>
      </c>
      <c r="AL8" s="44">
        <f t="shared" si="4"/>
        <v>1</v>
      </c>
      <c r="AM8" s="44">
        <f t="shared" si="5"/>
        <v>0</v>
      </c>
      <c r="AN8" s="44">
        <f t="shared" si="6"/>
        <v>0</v>
      </c>
      <c r="AO8" s="119">
        <f t="shared" si="7"/>
        <v>31</v>
      </c>
      <c r="AP8" s="51">
        <v>25000.0</v>
      </c>
      <c r="AQ8" s="53">
        <f t="shared" si="8"/>
        <v>806.4516129</v>
      </c>
      <c r="AR8" s="53">
        <f t="shared" si="9"/>
        <v>25000</v>
      </c>
      <c r="AS8" s="54">
        <v>200.0</v>
      </c>
      <c r="AT8" s="62">
        <f t="shared" si="10"/>
        <v>24800</v>
      </c>
      <c r="AU8" s="53">
        <v>0.0</v>
      </c>
      <c r="AV8" s="64">
        <f t="shared" si="11"/>
        <v>24800</v>
      </c>
    </row>
    <row r="9">
      <c r="A9" s="115">
        <v>5.0</v>
      </c>
      <c r="B9" s="116" t="s">
        <v>47</v>
      </c>
      <c r="C9" s="117" t="s">
        <v>48</v>
      </c>
      <c r="D9" s="40" t="s">
        <v>34</v>
      </c>
      <c r="E9" s="41" t="s">
        <v>35</v>
      </c>
      <c r="F9" s="41" t="s">
        <v>6</v>
      </c>
      <c r="G9" s="118" t="s">
        <v>34</v>
      </c>
      <c r="H9" s="40" t="s">
        <v>34</v>
      </c>
      <c r="I9" s="40" t="s">
        <v>34</v>
      </c>
      <c r="J9" s="40" t="s">
        <v>34</v>
      </c>
      <c r="K9" s="40" t="s">
        <v>34</v>
      </c>
      <c r="L9" s="41" t="s">
        <v>35</v>
      </c>
      <c r="M9" s="40" t="s">
        <v>34</v>
      </c>
      <c r="N9" s="118" t="s">
        <v>34</v>
      </c>
      <c r="O9" s="40" t="s">
        <v>34</v>
      </c>
      <c r="P9" s="41" t="s">
        <v>9</v>
      </c>
      <c r="Q9" s="40" t="s">
        <v>34</v>
      </c>
      <c r="R9" s="41" t="s">
        <v>35</v>
      </c>
      <c r="S9" s="41" t="s">
        <v>35</v>
      </c>
      <c r="T9" s="40" t="s">
        <v>34</v>
      </c>
      <c r="U9" s="118" t="s">
        <v>34</v>
      </c>
      <c r="V9" s="40" t="s">
        <v>34</v>
      </c>
      <c r="W9" s="40" t="s">
        <v>34</v>
      </c>
      <c r="X9" s="40" t="s">
        <v>34</v>
      </c>
      <c r="Y9" s="40" t="s">
        <v>34</v>
      </c>
      <c r="Z9" s="41" t="s">
        <v>35</v>
      </c>
      <c r="AA9" s="118" t="s">
        <v>34</v>
      </c>
      <c r="AB9" s="118" t="s">
        <v>34</v>
      </c>
      <c r="AC9" s="40" t="s">
        <v>34</v>
      </c>
      <c r="AD9" s="40" t="s">
        <v>34</v>
      </c>
      <c r="AE9" s="40" t="s">
        <v>34</v>
      </c>
      <c r="AF9" s="40" t="s">
        <v>34</v>
      </c>
      <c r="AG9" s="41" t="s">
        <v>35</v>
      </c>
      <c r="AH9" s="40" t="s">
        <v>34</v>
      </c>
      <c r="AI9" s="44">
        <f t="shared" si="1"/>
        <v>23</v>
      </c>
      <c r="AJ9" s="44">
        <f t="shared" si="2"/>
        <v>0</v>
      </c>
      <c r="AK9" s="44">
        <f t="shared" si="3"/>
        <v>6</v>
      </c>
      <c r="AL9" s="44">
        <f t="shared" si="4"/>
        <v>1</v>
      </c>
      <c r="AM9" s="44">
        <f t="shared" si="5"/>
        <v>0</v>
      </c>
      <c r="AN9" s="44">
        <f t="shared" si="6"/>
        <v>1</v>
      </c>
      <c r="AO9" s="119">
        <f t="shared" si="7"/>
        <v>30</v>
      </c>
      <c r="AP9" s="51">
        <v>50000.0</v>
      </c>
      <c r="AQ9" s="53">
        <f t="shared" si="8"/>
        <v>1612.903226</v>
      </c>
      <c r="AR9" s="53">
        <f t="shared" si="9"/>
        <v>48387.09677</v>
      </c>
      <c r="AS9" s="54">
        <v>200.0</v>
      </c>
      <c r="AT9" s="62">
        <f t="shared" si="10"/>
        <v>48187.09677</v>
      </c>
      <c r="AU9" s="53">
        <v>0.0</v>
      </c>
      <c r="AV9" s="64">
        <f t="shared" si="11"/>
        <v>48187.09677</v>
      </c>
    </row>
    <row r="10">
      <c r="A10" s="115">
        <v>6.0</v>
      </c>
      <c r="B10" s="116" t="s">
        <v>51</v>
      </c>
      <c r="C10" s="117" t="s">
        <v>48</v>
      </c>
      <c r="D10" s="41" t="s">
        <v>6</v>
      </c>
      <c r="E10" s="41" t="s">
        <v>35</v>
      </c>
      <c r="F10" s="40" t="s">
        <v>34</v>
      </c>
      <c r="G10" s="118" t="s">
        <v>34</v>
      </c>
      <c r="H10" s="40" t="s">
        <v>34</v>
      </c>
      <c r="I10" s="40" t="s">
        <v>34</v>
      </c>
      <c r="J10" s="41" t="s">
        <v>9</v>
      </c>
      <c r="K10" s="41" t="s">
        <v>9</v>
      </c>
      <c r="L10" s="41" t="s">
        <v>9</v>
      </c>
      <c r="M10" s="40" t="s">
        <v>34</v>
      </c>
      <c r="N10" s="118" t="s">
        <v>34</v>
      </c>
      <c r="O10" s="40" t="s">
        <v>34</v>
      </c>
      <c r="P10" s="40" t="s">
        <v>34</v>
      </c>
      <c r="Q10" s="40" t="s">
        <v>34</v>
      </c>
      <c r="R10" s="41" t="s">
        <v>35</v>
      </c>
      <c r="S10" s="41" t="s">
        <v>35</v>
      </c>
      <c r="T10" s="40" t="s">
        <v>34</v>
      </c>
      <c r="U10" s="118" t="s">
        <v>34</v>
      </c>
      <c r="V10" s="40" t="s">
        <v>34</v>
      </c>
      <c r="W10" s="40" t="s">
        <v>34</v>
      </c>
      <c r="X10" s="40" t="s">
        <v>34</v>
      </c>
      <c r="Y10" s="40" t="s">
        <v>34</v>
      </c>
      <c r="Z10" s="41" t="s">
        <v>35</v>
      </c>
      <c r="AA10" s="118" t="s">
        <v>34</v>
      </c>
      <c r="AB10" s="118" t="s">
        <v>34</v>
      </c>
      <c r="AC10" s="40" t="s">
        <v>34</v>
      </c>
      <c r="AD10" s="40" t="s">
        <v>34</v>
      </c>
      <c r="AE10" s="40" t="s">
        <v>34</v>
      </c>
      <c r="AF10" s="40" t="s">
        <v>34</v>
      </c>
      <c r="AG10" s="41" t="s">
        <v>35</v>
      </c>
      <c r="AH10" s="40" t="s">
        <v>34</v>
      </c>
      <c r="AI10" s="44">
        <f t="shared" si="1"/>
        <v>22</v>
      </c>
      <c r="AJ10" s="44">
        <f t="shared" si="2"/>
        <v>0</v>
      </c>
      <c r="AK10" s="44">
        <f t="shared" si="3"/>
        <v>5</v>
      </c>
      <c r="AL10" s="44">
        <f t="shared" si="4"/>
        <v>1</v>
      </c>
      <c r="AM10" s="44">
        <f t="shared" si="5"/>
        <v>0</v>
      </c>
      <c r="AN10" s="44">
        <f t="shared" si="6"/>
        <v>3</v>
      </c>
      <c r="AO10" s="119">
        <f t="shared" si="7"/>
        <v>28</v>
      </c>
      <c r="AP10" s="51">
        <v>50000.0</v>
      </c>
      <c r="AQ10" s="53">
        <f t="shared" si="8"/>
        <v>1612.903226</v>
      </c>
      <c r="AR10" s="53">
        <f t="shared" si="9"/>
        <v>45161.29032</v>
      </c>
      <c r="AS10" s="54">
        <v>200.0</v>
      </c>
      <c r="AT10" s="62">
        <f t="shared" si="10"/>
        <v>44961.29032</v>
      </c>
      <c r="AU10" s="53">
        <v>0.0</v>
      </c>
      <c r="AV10" s="64">
        <f t="shared" si="11"/>
        <v>44961.29032</v>
      </c>
    </row>
    <row r="11">
      <c r="A11" s="115">
        <v>7.0</v>
      </c>
      <c r="B11" s="116" t="s">
        <v>55</v>
      </c>
      <c r="C11" s="117" t="s">
        <v>57</v>
      </c>
      <c r="D11" s="40" t="s">
        <v>34</v>
      </c>
      <c r="E11" s="41" t="s">
        <v>35</v>
      </c>
      <c r="F11" s="40" t="s">
        <v>34</v>
      </c>
      <c r="G11" s="118" t="s">
        <v>34</v>
      </c>
      <c r="H11" s="40" t="s">
        <v>34</v>
      </c>
      <c r="I11" s="40" t="s">
        <v>34</v>
      </c>
      <c r="J11" s="40" t="s">
        <v>34</v>
      </c>
      <c r="K11" s="40" t="s">
        <v>34</v>
      </c>
      <c r="L11" s="41" t="s">
        <v>35</v>
      </c>
      <c r="M11" s="40" t="s">
        <v>34</v>
      </c>
      <c r="N11" s="118" t="s">
        <v>34</v>
      </c>
      <c r="O11" s="40" t="s">
        <v>34</v>
      </c>
      <c r="P11" s="40" t="s">
        <v>34</v>
      </c>
      <c r="Q11" s="40" t="s">
        <v>34</v>
      </c>
      <c r="R11" s="41" t="s">
        <v>35</v>
      </c>
      <c r="S11" s="41" t="s">
        <v>35</v>
      </c>
      <c r="T11" s="40" t="s">
        <v>34</v>
      </c>
      <c r="U11" s="118" t="s">
        <v>34</v>
      </c>
      <c r="V11" s="40" t="s">
        <v>34</v>
      </c>
      <c r="W11" s="40" t="s">
        <v>34</v>
      </c>
      <c r="X11" s="40" t="s">
        <v>34</v>
      </c>
      <c r="Y11" s="40" t="s">
        <v>34</v>
      </c>
      <c r="Z11" s="41" t="s">
        <v>35</v>
      </c>
      <c r="AA11" s="118" t="s">
        <v>34</v>
      </c>
      <c r="AB11" s="118" t="s">
        <v>34</v>
      </c>
      <c r="AC11" s="40" t="s">
        <v>34</v>
      </c>
      <c r="AD11" s="40" t="s">
        <v>34</v>
      </c>
      <c r="AE11" s="40" t="s">
        <v>34</v>
      </c>
      <c r="AF11" s="40" t="s">
        <v>34</v>
      </c>
      <c r="AG11" s="41" t="s">
        <v>35</v>
      </c>
      <c r="AH11" s="40" t="s">
        <v>34</v>
      </c>
      <c r="AI11" s="44">
        <f t="shared" si="1"/>
        <v>25</v>
      </c>
      <c r="AJ11" s="44">
        <f t="shared" si="2"/>
        <v>0</v>
      </c>
      <c r="AK11" s="44">
        <f t="shared" si="3"/>
        <v>6</v>
      </c>
      <c r="AL11" s="44">
        <f t="shared" si="4"/>
        <v>0</v>
      </c>
      <c r="AM11" s="44">
        <f t="shared" si="5"/>
        <v>0</v>
      </c>
      <c r="AN11" s="44">
        <f t="shared" si="6"/>
        <v>0</v>
      </c>
      <c r="AO11" s="119">
        <f t="shared" si="7"/>
        <v>31</v>
      </c>
      <c r="AP11" s="51">
        <v>12000.0</v>
      </c>
      <c r="AQ11" s="53">
        <f t="shared" si="8"/>
        <v>387.0967742</v>
      </c>
      <c r="AR11" s="53">
        <f t="shared" si="9"/>
        <v>12000</v>
      </c>
      <c r="AS11" s="54">
        <v>0.0</v>
      </c>
      <c r="AT11" s="62">
        <f t="shared" si="10"/>
        <v>12000</v>
      </c>
      <c r="AU11" s="53">
        <v>0.0</v>
      </c>
      <c r="AV11" s="64">
        <f t="shared" si="11"/>
        <v>12000</v>
      </c>
    </row>
    <row r="12">
      <c r="A12" s="115">
        <v>8.0</v>
      </c>
      <c r="B12" s="116" t="s">
        <v>64</v>
      </c>
      <c r="C12" s="117" t="s">
        <v>65</v>
      </c>
      <c r="D12" s="40" t="s">
        <v>34</v>
      </c>
      <c r="E12" s="41" t="s">
        <v>35</v>
      </c>
      <c r="F12" s="40" t="s">
        <v>34</v>
      </c>
      <c r="G12" s="118" t="s">
        <v>34</v>
      </c>
      <c r="H12" s="40" t="s">
        <v>34</v>
      </c>
      <c r="I12" s="40" t="s">
        <v>34</v>
      </c>
      <c r="J12" s="40" t="s">
        <v>34</v>
      </c>
      <c r="K12" s="40" t="s">
        <v>34</v>
      </c>
      <c r="L12" s="41" t="s">
        <v>35</v>
      </c>
      <c r="M12" s="40" t="s">
        <v>34</v>
      </c>
      <c r="N12" s="118" t="s">
        <v>34</v>
      </c>
      <c r="O12" s="40" t="s">
        <v>34</v>
      </c>
      <c r="P12" s="40" t="s">
        <v>34</v>
      </c>
      <c r="Q12" s="40" t="s">
        <v>34</v>
      </c>
      <c r="R12" s="41" t="s">
        <v>35</v>
      </c>
      <c r="S12" s="41" t="s">
        <v>35</v>
      </c>
      <c r="T12" s="40" t="s">
        <v>34</v>
      </c>
      <c r="U12" s="118" t="s">
        <v>34</v>
      </c>
      <c r="V12" s="40" t="s">
        <v>34</v>
      </c>
      <c r="W12" s="40" t="s">
        <v>34</v>
      </c>
      <c r="X12" s="40" t="s">
        <v>34</v>
      </c>
      <c r="Y12" s="40" t="s">
        <v>34</v>
      </c>
      <c r="Z12" s="41" t="s">
        <v>35</v>
      </c>
      <c r="AA12" s="118" t="s">
        <v>34</v>
      </c>
      <c r="AB12" s="118" t="s">
        <v>34</v>
      </c>
      <c r="AC12" s="40" t="s">
        <v>34</v>
      </c>
      <c r="AD12" s="40" t="s">
        <v>34</v>
      </c>
      <c r="AE12" s="40" t="s">
        <v>34</v>
      </c>
      <c r="AF12" s="40" t="s">
        <v>34</v>
      </c>
      <c r="AG12" s="41" t="s">
        <v>35</v>
      </c>
      <c r="AH12" s="40" t="s">
        <v>34</v>
      </c>
      <c r="AI12" s="44">
        <f t="shared" si="1"/>
        <v>25</v>
      </c>
      <c r="AJ12" s="44">
        <f t="shared" si="2"/>
        <v>0</v>
      </c>
      <c r="AK12" s="44">
        <f t="shared" si="3"/>
        <v>6</v>
      </c>
      <c r="AL12" s="44">
        <f t="shared" si="4"/>
        <v>0</v>
      </c>
      <c r="AM12" s="44">
        <f t="shared" si="5"/>
        <v>0</v>
      </c>
      <c r="AN12" s="44">
        <f t="shared" si="6"/>
        <v>0</v>
      </c>
      <c r="AO12" s="119">
        <f t="shared" si="7"/>
        <v>31</v>
      </c>
      <c r="AP12" s="123">
        <v>10000.0</v>
      </c>
      <c r="AQ12" s="53">
        <f t="shared" si="8"/>
        <v>322.5806452</v>
      </c>
      <c r="AR12" s="53">
        <f t="shared" si="9"/>
        <v>10000</v>
      </c>
      <c r="AS12" s="54">
        <v>0.0</v>
      </c>
      <c r="AT12" s="62">
        <f t="shared" si="10"/>
        <v>10000</v>
      </c>
      <c r="AU12" s="53">
        <v>0.0</v>
      </c>
      <c r="AV12" s="64">
        <f t="shared" si="11"/>
        <v>10000</v>
      </c>
    </row>
    <row r="13">
      <c r="A13" s="115">
        <v>9.0</v>
      </c>
      <c r="B13" s="116" t="s">
        <v>66</v>
      </c>
      <c r="C13" s="117" t="s">
        <v>67</v>
      </c>
      <c r="D13" s="40" t="s">
        <v>34</v>
      </c>
      <c r="E13" s="41" t="s">
        <v>35</v>
      </c>
      <c r="F13" s="40" t="s">
        <v>34</v>
      </c>
      <c r="G13" s="118" t="s">
        <v>34</v>
      </c>
      <c r="H13" s="40" t="s">
        <v>34</v>
      </c>
      <c r="I13" s="40" t="s">
        <v>34</v>
      </c>
      <c r="J13" s="40" t="s">
        <v>34</v>
      </c>
      <c r="K13" s="40" t="s">
        <v>34</v>
      </c>
      <c r="L13" s="41" t="s">
        <v>35</v>
      </c>
      <c r="M13" s="40" t="s">
        <v>34</v>
      </c>
      <c r="N13" s="118" t="s">
        <v>34</v>
      </c>
      <c r="O13" s="40" t="s">
        <v>34</v>
      </c>
      <c r="P13" s="40" t="s">
        <v>34</v>
      </c>
      <c r="Q13" s="40" t="s">
        <v>34</v>
      </c>
      <c r="R13" s="41" t="s">
        <v>35</v>
      </c>
      <c r="S13" s="41" t="s">
        <v>35</v>
      </c>
      <c r="T13" s="40" t="s">
        <v>34</v>
      </c>
      <c r="U13" s="118" t="s">
        <v>34</v>
      </c>
      <c r="V13" s="40" t="s">
        <v>34</v>
      </c>
      <c r="W13" s="40" t="s">
        <v>34</v>
      </c>
      <c r="X13" s="40" t="s">
        <v>34</v>
      </c>
      <c r="Y13" s="40" t="s">
        <v>34</v>
      </c>
      <c r="Z13" s="41" t="s">
        <v>35</v>
      </c>
      <c r="AA13" s="118" t="s">
        <v>34</v>
      </c>
      <c r="AB13" s="118" t="s">
        <v>34</v>
      </c>
      <c r="AC13" s="40" t="s">
        <v>34</v>
      </c>
      <c r="AD13" s="40" t="s">
        <v>34</v>
      </c>
      <c r="AE13" s="41" t="s">
        <v>6</v>
      </c>
      <c r="AF13" s="40" t="s">
        <v>34</v>
      </c>
      <c r="AG13" s="41" t="s">
        <v>35</v>
      </c>
      <c r="AH13" s="40" t="s">
        <v>34</v>
      </c>
      <c r="AI13" s="44">
        <f t="shared" si="1"/>
        <v>24</v>
      </c>
      <c r="AJ13" s="44">
        <f t="shared" si="2"/>
        <v>0</v>
      </c>
      <c r="AK13" s="44">
        <f t="shared" si="3"/>
        <v>6</v>
      </c>
      <c r="AL13" s="44">
        <f t="shared" si="4"/>
        <v>1</v>
      </c>
      <c r="AM13" s="44">
        <f t="shared" si="5"/>
        <v>0</v>
      </c>
      <c r="AN13" s="44">
        <f t="shared" si="6"/>
        <v>0</v>
      </c>
      <c r="AO13" s="119">
        <f t="shared" si="7"/>
        <v>31</v>
      </c>
      <c r="AP13" s="123">
        <v>10000.0</v>
      </c>
      <c r="AQ13" s="53">
        <f t="shared" si="8"/>
        <v>322.5806452</v>
      </c>
      <c r="AR13" s="53">
        <f t="shared" si="9"/>
        <v>10000</v>
      </c>
      <c r="AS13" s="54">
        <v>0.0</v>
      </c>
      <c r="AT13" s="62">
        <f t="shared" si="10"/>
        <v>10000</v>
      </c>
      <c r="AU13" s="53">
        <v>0.0</v>
      </c>
      <c r="AV13" s="64">
        <f t="shared" si="11"/>
        <v>10000</v>
      </c>
    </row>
    <row r="14">
      <c r="A14" s="115">
        <v>10.0</v>
      </c>
      <c r="B14" s="115" t="s">
        <v>84</v>
      </c>
      <c r="C14" s="117" t="s">
        <v>85</v>
      </c>
      <c r="D14" s="40" t="s">
        <v>34</v>
      </c>
      <c r="E14" s="121" t="s">
        <v>35</v>
      </c>
      <c r="F14" s="118" t="s">
        <v>34</v>
      </c>
      <c r="G14" s="121" t="s">
        <v>6</v>
      </c>
      <c r="H14" s="40" t="s">
        <v>34</v>
      </c>
      <c r="I14" s="40" t="s">
        <v>34</v>
      </c>
      <c r="J14" s="118" t="s">
        <v>34</v>
      </c>
      <c r="K14" s="40" t="s">
        <v>34</v>
      </c>
      <c r="L14" s="41" t="s">
        <v>35</v>
      </c>
      <c r="M14" s="40" t="s">
        <v>34</v>
      </c>
      <c r="N14" s="118" t="s">
        <v>34</v>
      </c>
      <c r="O14" s="40" t="s">
        <v>34</v>
      </c>
      <c r="P14" s="40" t="s">
        <v>34</v>
      </c>
      <c r="Q14" s="40" t="s">
        <v>34</v>
      </c>
      <c r="R14" s="41" t="s">
        <v>35</v>
      </c>
      <c r="S14" s="41" t="s">
        <v>35</v>
      </c>
      <c r="T14" s="40" t="s">
        <v>34</v>
      </c>
      <c r="U14" s="118" t="s">
        <v>34</v>
      </c>
      <c r="V14" s="40" t="s">
        <v>34</v>
      </c>
      <c r="W14" s="40" t="s">
        <v>34</v>
      </c>
      <c r="X14" s="40" t="s">
        <v>34</v>
      </c>
      <c r="Y14" s="40" t="s">
        <v>34</v>
      </c>
      <c r="Z14" s="41" t="s">
        <v>35</v>
      </c>
      <c r="AA14" s="118" t="s">
        <v>34</v>
      </c>
      <c r="AB14" s="118" t="s">
        <v>34</v>
      </c>
      <c r="AC14" s="40" t="s">
        <v>34</v>
      </c>
      <c r="AD14" s="40" t="s">
        <v>34</v>
      </c>
      <c r="AE14" s="40" t="s">
        <v>34</v>
      </c>
      <c r="AF14" s="40" t="s">
        <v>34</v>
      </c>
      <c r="AG14" s="41" t="s">
        <v>35</v>
      </c>
      <c r="AH14" s="40" t="s">
        <v>34</v>
      </c>
      <c r="AI14" s="44">
        <f t="shared" si="1"/>
        <v>24</v>
      </c>
      <c r="AJ14" s="44">
        <f t="shared" si="2"/>
        <v>0</v>
      </c>
      <c r="AK14" s="44">
        <f t="shared" si="3"/>
        <v>6</v>
      </c>
      <c r="AL14" s="44">
        <f t="shared" si="4"/>
        <v>1</v>
      </c>
      <c r="AM14" s="44">
        <f t="shared" si="5"/>
        <v>0</v>
      </c>
      <c r="AN14" s="44">
        <f t="shared" si="6"/>
        <v>0</v>
      </c>
      <c r="AO14" s="119">
        <f t="shared" si="7"/>
        <v>31</v>
      </c>
      <c r="AP14" s="123">
        <v>10000.0</v>
      </c>
      <c r="AQ14" s="53">
        <f t="shared" si="8"/>
        <v>322.5806452</v>
      </c>
      <c r="AR14" s="53">
        <f t="shared" si="9"/>
        <v>10000</v>
      </c>
      <c r="AS14" s="124">
        <v>0.0</v>
      </c>
      <c r="AT14" s="62">
        <f t="shared" si="10"/>
        <v>10000</v>
      </c>
      <c r="AU14" s="53">
        <v>0.0</v>
      </c>
      <c r="AV14" s="64">
        <f t="shared" si="11"/>
        <v>10000</v>
      </c>
    </row>
    <row r="15">
      <c r="A15" s="115">
        <v>11.0</v>
      </c>
      <c r="B15" s="115" t="s">
        <v>86</v>
      </c>
      <c r="C15" s="117" t="s">
        <v>87</v>
      </c>
      <c r="D15" s="121" t="s">
        <v>61</v>
      </c>
      <c r="E15" s="121" t="s">
        <v>61</v>
      </c>
      <c r="F15" s="118" t="s">
        <v>34</v>
      </c>
      <c r="G15" s="118" t="s">
        <v>34</v>
      </c>
      <c r="H15" s="40" t="s">
        <v>34</v>
      </c>
      <c r="I15" s="40" t="s">
        <v>34</v>
      </c>
      <c r="J15" s="118" t="s">
        <v>34</v>
      </c>
      <c r="K15" s="40" t="s">
        <v>34</v>
      </c>
      <c r="L15" s="41" t="s">
        <v>35</v>
      </c>
      <c r="M15" s="40" t="s">
        <v>34</v>
      </c>
      <c r="N15" s="118" t="s">
        <v>34</v>
      </c>
      <c r="O15" s="40" t="s">
        <v>34</v>
      </c>
      <c r="P15" s="40" t="s">
        <v>34</v>
      </c>
      <c r="Q15" s="40" t="s">
        <v>34</v>
      </c>
      <c r="R15" s="41" t="s">
        <v>35</v>
      </c>
      <c r="S15" s="41" t="s">
        <v>35</v>
      </c>
      <c r="T15" s="40" t="s">
        <v>34</v>
      </c>
      <c r="U15" s="118" t="s">
        <v>34</v>
      </c>
      <c r="V15" s="40" t="s">
        <v>34</v>
      </c>
      <c r="W15" s="40" t="s">
        <v>34</v>
      </c>
      <c r="X15" s="40" t="s">
        <v>34</v>
      </c>
      <c r="Y15" s="40" t="s">
        <v>34</v>
      </c>
      <c r="Z15" s="41" t="s">
        <v>35</v>
      </c>
      <c r="AA15" s="118" t="s">
        <v>34</v>
      </c>
      <c r="AB15" s="118" t="s">
        <v>34</v>
      </c>
      <c r="AC15" s="40" t="s">
        <v>34</v>
      </c>
      <c r="AD15" s="40" t="s">
        <v>34</v>
      </c>
      <c r="AE15" s="118" t="s">
        <v>34</v>
      </c>
      <c r="AF15" s="118" t="s">
        <v>34</v>
      </c>
      <c r="AG15" s="41" t="s">
        <v>35</v>
      </c>
      <c r="AH15" s="40" t="s">
        <v>34</v>
      </c>
      <c r="AI15" s="44">
        <f t="shared" si="1"/>
        <v>24</v>
      </c>
      <c r="AJ15" s="44">
        <f t="shared" si="2"/>
        <v>2</v>
      </c>
      <c r="AK15" s="44">
        <f t="shared" si="3"/>
        <v>5</v>
      </c>
      <c r="AL15" s="44">
        <f t="shared" si="4"/>
        <v>0</v>
      </c>
      <c r="AM15" s="44">
        <f t="shared" si="5"/>
        <v>0</v>
      </c>
      <c r="AN15" s="44">
        <f t="shared" si="6"/>
        <v>0</v>
      </c>
      <c r="AO15" s="119">
        <f t="shared" si="7"/>
        <v>29</v>
      </c>
      <c r="AP15" s="125">
        <v>54166.67</v>
      </c>
      <c r="AQ15" s="53">
        <f t="shared" si="8"/>
        <v>1747.311935</v>
      </c>
      <c r="AR15" s="53">
        <f t="shared" si="9"/>
        <v>50672.04613</v>
      </c>
      <c r="AS15" s="124">
        <v>200.0</v>
      </c>
      <c r="AT15" s="62">
        <f t="shared" si="10"/>
        <v>50472.04613</v>
      </c>
      <c r="AU15" s="53">
        <v>0.0</v>
      </c>
      <c r="AV15" s="64">
        <f t="shared" si="11"/>
        <v>50472.04613</v>
      </c>
    </row>
    <row r="16">
      <c r="A16" s="115">
        <v>12.0</v>
      </c>
      <c r="B16" s="115" t="s">
        <v>88</v>
      </c>
      <c r="C16" s="117" t="s">
        <v>89</v>
      </c>
      <c r="D16" s="121" t="s">
        <v>61</v>
      </c>
      <c r="E16" s="121" t="s">
        <v>61</v>
      </c>
      <c r="F16" s="118" t="s">
        <v>34</v>
      </c>
      <c r="G16" s="118" t="s">
        <v>34</v>
      </c>
      <c r="H16" s="40" t="s">
        <v>34</v>
      </c>
      <c r="I16" s="40" t="s">
        <v>34</v>
      </c>
      <c r="J16" s="118" t="s">
        <v>34</v>
      </c>
      <c r="K16" s="40" t="s">
        <v>34</v>
      </c>
      <c r="L16" s="41" t="s">
        <v>35</v>
      </c>
      <c r="M16" s="40" t="s">
        <v>34</v>
      </c>
      <c r="N16" s="118" t="s">
        <v>34</v>
      </c>
      <c r="O16" s="40" t="s">
        <v>34</v>
      </c>
      <c r="P16" s="40" t="s">
        <v>34</v>
      </c>
      <c r="Q16" s="40" t="s">
        <v>34</v>
      </c>
      <c r="R16" s="41" t="s">
        <v>6</v>
      </c>
      <c r="S16" s="41" t="s">
        <v>9</v>
      </c>
      <c r="T16" s="121" t="s">
        <v>9</v>
      </c>
      <c r="U16" s="118" t="s">
        <v>34</v>
      </c>
      <c r="V16" s="40" t="s">
        <v>34</v>
      </c>
      <c r="W16" s="40" t="s">
        <v>34</v>
      </c>
      <c r="X16" s="40" t="s">
        <v>34</v>
      </c>
      <c r="Y16" s="40" t="s">
        <v>34</v>
      </c>
      <c r="Z16" s="41" t="s">
        <v>35</v>
      </c>
      <c r="AA16" s="118" t="s">
        <v>34</v>
      </c>
      <c r="AB16" s="118" t="s">
        <v>34</v>
      </c>
      <c r="AC16" s="40" t="s">
        <v>34</v>
      </c>
      <c r="AD16" s="40" t="s">
        <v>34</v>
      </c>
      <c r="AE16" s="118" t="s">
        <v>34</v>
      </c>
      <c r="AF16" s="118" t="s">
        <v>34</v>
      </c>
      <c r="AG16" s="41" t="s">
        <v>35</v>
      </c>
      <c r="AH16" s="40" t="s">
        <v>34</v>
      </c>
      <c r="AI16" s="44">
        <f t="shared" si="1"/>
        <v>23</v>
      </c>
      <c r="AJ16" s="44">
        <f t="shared" si="2"/>
        <v>2</v>
      </c>
      <c r="AK16" s="44">
        <f t="shared" si="3"/>
        <v>3</v>
      </c>
      <c r="AL16" s="44">
        <f t="shared" si="4"/>
        <v>1</v>
      </c>
      <c r="AM16" s="44">
        <f t="shared" si="5"/>
        <v>0</v>
      </c>
      <c r="AN16" s="44">
        <f t="shared" si="6"/>
        <v>2</v>
      </c>
      <c r="AO16" s="119">
        <f t="shared" si="7"/>
        <v>27</v>
      </c>
      <c r="AP16" s="123">
        <v>10000.0</v>
      </c>
      <c r="AQ16" s="53">
        <f t="shared" si="8"/>
        <v>322.5806452</v>
      </c>
      <c r="AR16" s="53">
        <f t="shared" si="9"/>
        <v>8709.677419</v>
      </c>
      <c r="AS16" s="124">
        <v>0.0</v>
      </c>
      <c r="AT16" s="62">
        <f t="shared" si="10"/>
        <v>8709.677419</v>
      </c>
      <c r="AU16" s="53">
        <v>0.0</v>
      </c>
      <c r="AV16" s="64">
        <f t="shared" si="11"/>
        <v>8709.677419</v>
      </c>
    </row>
    <row r="17">
      <c r="A17" s="115">
        <v>13.0</v>
      </c>
      <c r="B17" s="116" t="s">
        <v>90</v>
      </c>
      <c r="C17" s="117" t="s">
        <v>48</v>
      </c>
      <c r="D17" s="121" t="s">
        <v>61</v>
      </c>
      <c r="E17" s="41" t="s">
        <v>61</v>
      </c>
      <c r="F17" s="121" t="s">
        <v>61</v>
      </c>
      <c r="G17" s="118" t="s">
        <v>34</v>
      </c>
      <c r="H17" s="40" t="s">
        <v>34</v>
      </c>
      <c r="I17" s="40" t="s">
        <v>34</v>
      </c>
      <c r="J17" s="121" t="s">
        <v>9</v>
      </c>
      <c r="K17" s="40" t="s">
        <v>34</v>
      </c>
      <c r="L17" s="41" t="s">
        <v>35</v>
      </c>
      <c r="M17" s="40" t="s">
        <v>34</v>
      </c>
      <c r="N17" s="118" t="s">
        <v>34</v>
      </c>
      <c r="O17" s="40" t="s">
        <v>34</v>
      </c>
      <c r="P17" s="40" t="s">
        <v>34</v>
      </c>
      <c r="Q17" s="40" t="s">
        <v>34</v>
      </c>
      <c r="R17" s="41" t="s">
        <v>35</v>
      </c>
      <c r="S17" s="41" t="s">
        <v>35</v>
      </c>
      <c r="T17" s="118" t="s">
        <v>34</v>
      </c>
      <c r="U17" s="118" t="s">
        <v>34</v>
      </c>
      <c r="V17" s="40" t="s">
        <v>34</v>
      </c>
      <c r="W17" s="40" t="s">
        <v>34</v>
      </c>
      <c r="X17" s="40" t="s">
        <v>34</v>
      </c>
      <c r="Y17" s="40" t="s">
        <v>34</v>
      </c>
      <c r="Z17" s="41" t="s">
        <v>35</v>
      </c>
      <c r="AA17" s="118" t="s">
        <v>34</v>
      </c>
      <c r="AB17" s="118" t="s">
        <v>34</v>
      </c>
      <c r="AC17" s="40" t="s">
        <v>34</v>
      </c>
      <c r="AD17" s="40" t="s">
        <v>34</v>
      </c>
      <c r="AE17" s="118" t="s">
        <v>34</v>
      </c>
      <c r="AF17" s="118" t="s">
        <v>34</v>
      </c>
      <c r="AG17" s="41" t="s">
        <v>35</v>
      </c>
      <c r="AH17" s="40" t="s">
        <v>34</v>
      </c>
      <c r="AI17" s="44">
        <f t="shared" si="1"/>
        <v>22</v>
      </c>
      <c r="AJ17" s="44">
        <f t="shared" si="2"/>
        <v>3</v>
      </c>
      <c r="AK17" s="44">
        <f t="shared" si="3"/>
        <v>5</v>
      </c>
      <c r="AL17" s="44">
        <f t="shared" si="4"/>
        <v>0</v>
      </c>
      <c r="AM17" s="44">
        <f t="shared" si="5"/>
        <v>0</v>
      </c>
      <c r="AN17" s="44">
        <f t="shared" si="6"/>
        <v>1</v>
      </c>
      <c r="AO17" s="119">
        <f t="shared" si="7"/>
        <v>27</v>
      </c>
      <c r="AP17" s="123">
        <v>50000.0</v>
      </c>
      <c r="AQ17" s="53">
        <f t="shared" si="8"/>
        <v>1612.903226</v>
      </c>
      <c r="AR17" s="53">
        <f t="shared" si="9"/>
        <v>43548.3871</v>
      </c>
      <c r="AS17" s="124">
        <v>200.0</v>
      </c>
      <c r="AT17" s="62">
        <f t="shared" si="10"/>
        <v>43348.3871</v>
      </c>
      <c r="AU17" s="53">
        <v>0.0</v>
      </c>
      <c r="AV17" s="64">
        <f t="shared" si="11"/>
        <v>43348.3871</v>
      </c>
    </row>
    <row r="18">
      <c r="A18" s="115">
        <v>14.0</v>
      </c>
      <c r="B18" s="116" t="s">
        <v>91</v>
      </c>
      <c r="C18" s="117" t="s">
        <v>48</v>
      </c>
      <c r="D18" s="121" t="s">
        <v>61</v>
      </c>
      <c r="E18" s="121" t="s">
        <v>61</v>
      </c>
      <c r="F18" s="121" t="s">
        <v>61</v>
      </c>
      <c r="G18" s="118" t="s">
        <v>34</v>
      </c>
      <c r="H18" s="40" t="s">
        <v>34</v>
      </c>
      <c r="I18" s="40" t="s">
        <v>34</v>
      </c>
      <c r="J18" s="118" t="s">
        <v>34</v>
      </c>
      <c r="K18" s="40" t="s">
        <v>34</v>
      </c>
      <c r="L18" s="41" t="s">
        <v>35</v>
      </c>
      <c r="M18" s="40" t="s">
        <v>34</v>
      </c>
      <c r="N18" s="118" t="s">
        <v>34</v>
      </c>
      <c r="O18" s="40" t="s">
        <v>34</v>
      </c>
      <c r="P18" s="40" t="s">
        <v>34</v>
      </c>
      <c r="Q18" s="40" t="s">
        <v>34</v>
      </c>
      <c r="R18" s="41" t="s">
        <v>35</v>
      </c>
      <c r="S18" s="41" t="s">
        <v>35</v>
      </c>
      <c r="T18" s="118" t="s">
        <v>34</v>
      </c>
      <c r="U18" s="118" t="s">
        <v>34</v>
      </c>
      <c r="V18" s="40" t="s">
        <v>34</v>
      </c>
      <c r="W18" s="40" t="s">
        <v>34</v>
      </c>
      <c r="X18" s="40" t="s">
        <v>34</v>
      </c>
      <c r="Y18" s="40" t="s">
        <v>34</v>
      </c>
      <c r="Z18" s="41" t="s">
        <v>35</v>
      </c>
      <c r="AA18" s="118" t="s">
        <v>34</v>
      </c>
      <c r="AB18" s="118" t="s">
        <v>34</v>
      </c>
      <c r="AC18" s="40" t="s">
        <v>34</v>
      </c>
      <c r="AD18" s="41" t="s">
        <v>9</v>
      </c>
      <c r="AE18" s="121" t="s">
        <v>9</v>
      </c>
      <c r="AF18" s="118" t="s">
        <v>34</v>
      </c>
      <c r="AG18" s="41" t="s">
        <v>35</v>
      </c>
      <c r="AH18" s="40" t="s">
        <v>34</v>
      </c>
      <c r="AI18" s="44">
        <f t="shared" si="1"/>
        <v>21</v>
      </c>
      <c r="AJ18" s="44">
        <f t="shared" si="2"/>
        <v>3</v>
      </c>
      <c r="AK18" s="44">
        <f t="shared" si="3"/>
        <v>5</v>
      </c>
      <c r="AL18" s="44">
        <f t="shared" si="4"/>
        <v>0</v>
      </c>
      <c r="AM18" s="44">
        <f t="shared" si="5"/>
        <v>0</v>
      </c>
      <c r="AN18" s="44">
        <f t="shared" si="6"/>
        <v>2</v>
      </c>
      <c r="AO18" s="119">
        <f t="shared" si="7"/>
        <v>26</v>
      </c>
      <c r="AP18" s="123">
        <v>50000.0</v>
      </c>
      <c r="AQ18" s="53">
        <f t="shared" si="8"/>
        <v>1612.903226</v>
      </c>
      <c r="AR18" s="53">
        <f t="shared" si="9"/>
        <v>41935.48387</v>
      </c>
      <c r="AS18" s="124">
        <v>200.0</v>
      </c>
      <c r="AT18" s="62">
        <f t="shared" si="10"/>
        <v>41735.48387</v>
      </c>
      <c r="AU18" s="53">
        <v>0.0</v>
      </c>
      <c r="AV18" s="64">
        <f t="shared" si="11"/>
        <v>41735.48387</v>
      </c>
    </row>
    <row r="19">
      <c r="A19" s="115">
        <v>15.0</v>
      </c>
      <c r="B19" s="115" t="s">
        <v>92</v>
      </c>
      <c r="C19" s="126" t="s">
        <v>93</v>
      </c>
      <c r="D19" s="121" t="s">
        <v>61</v>
      </c>
      <c r="E19" s="121" t="s">
        <v>61</v>
      </c>
      <c r="F19" s="121" t="s">
        <v>61</v>
      </c>
      <c r="G19" s="121" t="s">
        <v>61</v>
      </c>
      <c r="H19" s="121" t="s">
        <v>61</v>
      </c>
      <c r="I19" s="121" t="s">
        <v>61</v>
      </c>
      <c r="J19" s="121" t="s">
        <v>61</v>
      </c>
      <c r="K19" s="121" t="s">
        <v>61</v>
      </c>
      <c r="L19" s="121" t="s">
        <v>61</v>
      </c>
      <c r="M19" s="121" t="s">
        <v>61</v>
      </c>
      <c r="N19" s="121" t="s">
        <v>61</v>
      </c>
      <c r="O19" s="121" t="s">
        <v>61</v>
      </c>
      <c r="P19" s="121" t="s">
        <v>61</v>
      </c>
      <c r="Q19" s="121" t="s">
        <v>61</v>
      </c>
      <c r="R19" s="121" t="s">
        <v>61</v>
      </c>
      <c r="S19" s="121" t="s">
        <v>61</v>
      </c>
      <c r="T19" s="118" t="s">
        <v>34</v>
      </c>
      <c r="U19" s="118" t="s">
        <v>34</v>
      </c>
      <c r="V19" s="40" t="s">
        <v>34</v>
      </c>
      <c r="W19" s="40" t="s">
        <v>34</v>
      </c>
      <c r="X19" s="40" t="s">
        <v>34</v>
      </c>
      <c r="Y19" s="40" t="s">
        <v>34</v>
      </c>
      <c r="Z19" s="41" t="s">
        <v>35</v>
      </c>
      <c r="AA19" s="118" t="s">
        <v>34</v>
      </c>
      <c r="AB19" s="118" t="s">
        <v>34</v>
      </c>
      <c r="AC19" s="40" t="s">
        <v>34</v>
      </c>
      <c r="AD19" s="40" t="s">
        <v>34</v>
      </c>
      <c r="AE19" s="118" t="s">
        <v>34</v>
      </c>
      <c r="AF19" s="118" t="s">
        <v>34</v>
      </c>
      <c r="AG19" s="41" t="s">
        <v>35</v>
      </c>
      <c r="AH19" s="40" t="s">
        <v>34</v>
      </c>
      <c r="AI19" s="44">
        <f t="shared" si="1"/>
        <v>13</v>
      </c>
      <c r="AJ19" s="44">
        <f t="shared" si="2"/>
        <v>16</v>
      </c>
      <c r="AK19" s="44">
        <f t="shared" si="3"/>
        <v>2</v>
      </c>
      <c r="AL19" s="44">
        <f t="shared" si="4"/>
        <v>0</v>
      </c>
      <c r="AM19" s="44">
        <f t="shared" si="5"/>
        <v>0</v>
      </c>
      <c r="AN19" s="44">
        <f t="shared" si="6"/>
        <v>0</v>
      </c>
      <c r="AO19" s="119">
        <f t="shared" si="7"/>
        <v>15</v>
      </c>
      <c r="AP19" s="123">
        <v>30000.0</v>
      </c>
      <c r="AQ19" s="53">
        <f t="shared" si="8"/>
        <v>967.7419355</v>
      </c>
      <c r="AR19" s="53">
        <f t="shared" si="9"/>
        <v>14516.12903</v>
      </c>
      <c r="AS19" s="124">
        <v>200.0</v>
      </c>
      <c r="AT19" s="62">
        <f t="shared" si="10"/>
        <v>14316.12903</v>
      </c>
      <c r="AU19" s="53">
        <v>0.0</v>
      </c>
      <c r="AV19" s="64">
        <f t="shared" si="11"/>
        <v>14316.12903</v>
      </c>
    </row>
    <row r="20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27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U474" s="112"/>
      <c r="AV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T475" s="112"/>
      <c r="AU475" s="112"/>
      <c r="AV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U476" s="112"/>
      <c r="AV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T477" s="112"/>
      <c r="AU477" s="112"/>
      <c r="AV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U478" s="112"/>
      <c r="AV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U480" s="112"/>
      <c r="AV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T481" s="112"/>
      <c r="AU481" s="112"/>
      <c r="AV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/>
      <c r="AU482" s="112"/>
      <c r="AV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T483" s="112"/>
      <c r="AU483" s="112"/>
      <c r="AV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U484" s="112"/>
      <c r="AV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T485" s="112"/>
      <c r="AU485" s="112"/>
      <c r="AV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T486" s="112"/>
      <c r="AU486" s="112"/>
      <c r="AV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U487" s="112"/>
      <c r="AV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U488" s="112"/>
      <c r="AV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T489" s="112"/>
      <c r="AU489" s="112"/>
      <c r="AV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U490" s="112"/>
      <c r="AV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U491" s="112"/>
      <c r="AV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T493" s="112"/>
      <c r="AU493" s="112"/>
      <c r="AV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U494" s="112"/>
      <c r="AV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T495" s="112"/>
      <c r="AU495" s="112"/>
      <c r="AV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T496" s="112"/>
      <c r="AU496" s="112"/>
      <c r="AV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T497" s="112"/>
      <c r="AU497" s="112"/>
      <c r="AV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U498" s="112"/>
      <c r="AV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T499" s="112"/>
      <c r="AU499" s="112"/>
      <c r="AV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T501" s="112"/>
      <c r="AU501" s="112"/>
      <c r="AV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U502" s="112"/>
      <c r="AV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T503" s="112"/>
      <c r="AU503" s="112"/>
      <c r="AV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U504" s="112"/>
      <c r="AV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T505" s="112"/>
      <c r="AU505" s="112"/>
      <c r="AV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U506" s="112"/>
      <c r="AV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T507" s="112"/>
      <c r="AU507" s="112"/>
      <c r="AV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U508" s="112"/>
      <c r="AV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T509" s="112"/>
      <c r="AU509" s="112"/>
      <c r="AV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U510" s="112"/>
      <c r="AV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T511" s="112"/>
      <c r="AU511" s="112"/>
      <c r="AV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U513" s="112"/>
      <c r="AV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T514" s="112"/>
      <c r="AU514" s="112"/>
      <c r="AV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T515" s="112"/>
      <c r="AU515" s="112"/>
      <c r="AV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T516" s="112"/>
      <c r="AU516" s="112"/>
      <c r="AV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T517" s="112"/>
      <c r="AU517" s="112"/>
      <c r="AV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T518" s="112"/>
      <c r="AU518" s="112"/>
      <c r="AV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T519" s="112"/>
      <c r="AU519" s="112"/>
      <c r="AV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T520" s="112"/>
      <c r="AU520" s="112"/>
      <c r="AV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T521" s="112"/>
      <c r="AU521" s="112"/>
      <c r="AV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T522" s="112"/>
      <c r="AU522" s="112"/>
      <c r="AV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T523" s="112"/>
      <c r="AU523" s="112"/>
      <c r="AV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T524" s="112"/>
      <c r="AU524" s="112"/>
      <c r="AV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T525" s="112"/>
      <c r="AU525" s="112"/>
      <c r="AV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U526" s="112"/>
      <c r="AV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T527" s="112"/>
      <c r="AU527" s="112"/>
      <c r="AV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T529" s="112"/>
      <c r="AU529" s="112"/>
      <c r="AV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U530" s="112"/>
      <c r="AV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U531" s="112"/>
      <c r="AV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T532" s="112"/>
      <c r="AU532" s="112"/>
      <c r="AV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T533" s="112"/>
      <c r="AU533" s="112"/>
      <c r="AV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U534" s="112"/>
      <c r="AV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T535" s="112"/>
      <c r="AU535" s="112"/>
      <c r="AV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T536" s="112"/>
      <c r="AU536" s="112"/>
      <c r="AV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T537" s="112"/>
      <c r="AU537" s="112"/>
      <c r="AV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T538" s="112"/>
      <c r="AU538" s="112"/>
      <c r="AV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T539" s="112"/>
      <c r="AU539" s="112"/>
      <c r="AV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T540" s="112"/>
      <c r="AU540" s="112"/>
      <c r="AV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T541" s="112"/>
      <c r="AU541" s="112"/>
      <c r="AV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T542" s="112"/>
      <c r="AU542" s="112"/>
      <c r="AV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T543" s="112"/>
      <c r="AU543" s="112"/>
      <c r="AV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T544" s="112"/>
      <c r="AU544" s="112"/>
      <c r="AV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T545" s="112"/>
      <c r="AU545" s="112"/>
      <c r="AV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T546" s="112"/>
      <c r="AU546" s="112"/>
      <c r="AV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T547" s="112"/>
      <c r="AU547" s="112"/>
      <c r="AV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T548" s="112"/>
      <c r="AU548" s="112"/>
      <c r="AV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T549" s="112"/>
      <c r="AU549" s="112"/>
      <c r="AV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T550" s="112"/>
      <c r="AU550" s="112"/>
      <c r="AV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T551" s="112"/>
      <c r="AU551" s="112"/>
      <c r="AV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T552" s="112"/>
      <c r="AU552" s="112"/>
      <c r="AV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U553" s="112"/>
      <c r="AV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T554" s="112"/>
      <c r="AU554" s="112"/>
      <c r="AV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T555" s="112"/>
      <c r="AU555" s="112"/>
      <c r="AV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T556" s="112"/>
      <c r="AU556" s="112"/>
      <c r="AV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T557" s="112"/>
      <c r="AU557" s="112"/>
      <c r="AV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T558" s="112"/>
      <c r="AU558" s="112"/>
      <c r="AV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T559" s="112"/>
      <c r="AU559" s="112"/>
      <c r="AV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T560" s="112"/>
      <c r="AU560" s="112"/>
      <c r="AV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U561" s="112"/>
      <c r="AV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T562" s="112"/>
      <c r="AU562" s="112"/>
      <c r="AV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T563" s="112"/>
      <c r="AU563" s="112"/>
      <c r="AV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U564" s="112"/>
      <c r="AV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T565" s="112"/>
      <c r="AU565" s="112"/>
      <c r="AV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T566" s="112"/>
      <c r="AU566" s="112"/>
      <c r="AV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T567" s="112"/>
      <c r="AU567" s="112"/>
      <c r="AV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T568" s="112"/>
      <c r="AU568" s="112"/>
      <c r="AV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T569" s="112"/>
      <c r="AU569" s="112"/>
      <c r="AV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T570" s="112"/>
      <c r="AU570" s="112"/>
      <c r="AV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T572" s="112"/>
      <c r="AU572" s="112"/>
      <c r="AV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T573" s="112"/>
      <c r="AU573" s="112"/>
      <c r="AV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T574" s="112"/>
      <c r="AU574" s="112"/>
      <c r="AV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U575" s="112"/>
      <c r="AV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U576" s="112"/>
      <c r="AV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U578" s="112"/>
      <c r="AV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U580" s="112"/>
      <c r="AV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U582" s="112"/>
      <c r="AV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U584" s="112"/>
      <c r="AV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T587" s="112"/>
      <c r="AU587" s="112"/>
      <c r="AV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T588" s="112"/>
      <c r="AU588" s="112"/>
      <c r="AV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T589" s="112"/>
      <c r="AU589" s="112"/>
      <c r="AV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T590" s="112"/>
      <c r="AU590" s="112"/>
      <c r="AV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T591" s="112"/>
      <c r="AU591" s="112"/>
      <c r="AV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T593" s="112"/>
      <c r="AU593" s="112"/>
      <c r="AV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T594" s="112"/>
      <c r="AU594" s="112"/>
      <c r="AV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T595" s="112"/>
      <c r="AU595" s="112"/>
      <c r="AV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T596" s="112"/>
      <c r="AU596" s="112"/>
      <c r="AV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T597" s="112"/>
      <c r="AU597" s="112"/>
      <c r="AV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T598" s="112"/>
      <c r="AU598" s="112"/>
      <c r="AV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T599" s="112"/>
      <c r="AU599" s="112"/>
      <c r="AV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T600" s="112"/>
      <c r="AU600" s="112"/>
      <c r="AV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T601" s="112"/>
      <c r="AU601" s="112"/>
      <c r="AV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T602" s="112"/>
      <c r="AU602" s="112"/>
      <c r="AV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T603" s="112"/>
      <c r="AU603" s="112"/>
      <c r="AV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T604" s="112"/>
      <c r="AU604" s="112"/>
      <c r="AV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T605" s="112"/>
      <c r="AU605" s="112"/>
      <c r="AV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T606" s="112"/>
      <c r="AU606" s="112"/>
      <c r="AV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T607" s="112"/>
      <c r="AU607" s="112"/>
      <c r="AV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T608" s="112"/>
      <c r="AU608" s="112"/>
      <c r="AV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T609" s="112"/>
      <c r="AU609" s="112"/>
      <c r="AV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T610" s="112"/>
      <c r="AU610" s="112"/>
      <c r="AV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T611" s="112"/>
      <c r="AU611" s="112"/>
      <c r="AV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T612" s="112"/>
      <c r="AU612" s="112"/>
      <c r="AV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T613" s="112"/>
      <c r="AU613" s="112"/>
      <c r="AV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T614" s="112"/>
      <c r="AU614" s="112"/>
      <c r="AV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T615" s="112"/>
      <c r="AU615" s="112"/>
      <c r="AV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T616" s="112"/>
      <c r="AU616" s="112"/>
      <c r="AV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T617" s="112"/>
      <c r="AU617" s="112"/>
      <c r="AV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T618" s="112"/>
      <c r="AU618" s="112"/>
      <c r="AV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T619" s="112"/>
      <c r="AU619" s="112"/>
      <c r="AV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T620" s="112"/>
      <c r="AU620" s="112"/>
      <c r="AV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T621" s="112"/>
      <c r="AU621" s="112"/>
      <c r="AV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T622" s="112"/>
      <c r="AU622" s="112"/>
      <c r="AV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T623" s="112"/>
      <c r="AU623" s="112"/>
      <c r="AV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T624" s="112"/>
      <c r="AU624" s="112"/>
      <c r="AV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T625" s="112"/>
      <c r="AU625" s="112"/>
      <c r="AV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T626" s="112"/>
      <c r="AU626" s="112"/>
      <c r="AV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T627" s="112"/>
      <c r="AU627" s="112"/>
      <c r="AV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T628" s="112"/>
      <c r="AU628" s="112"/>
      <c r="AV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T629" s="112"/>
      <c r="AU629" s="112"/>
      <c r="AV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T630" s="112"/>
      <c r="AU630" s="112"/>
      <c r="AV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T631" s="112"/>
      <c r="AU631" s="112"/>
      <c r="AV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T632" s="112"/>
      <c r="AU632" s="112"/>
      <c r="AV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T633" s="112"/>
      <c r="AU633" s="112"/>
      <c r="AV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T634" s="112"/>
      <c r="AU634" s="112"/>
      <c r="AV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T635" s="112"/>
      <c r="AU635" s="112"/>
      <c r="AV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U636" s="112"/>
      <c r="AV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T637" s="112"/>
      <c r="AU637" s="112"/>
      <c r="AV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U638" s="112"/>
      <c r="AV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U639" s="112"/>
      <c r="AV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U640" s="112"/>
      <c r="AV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U641" s="112"/>
      <c r="AV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T642" s="112"/>
      <c r="AU642" s="112"/>
      <c r="AV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T643" s="112"/>
      <c r="AU643" s="112"/>
      <c r="AV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T644" s="112"/>
      <c r="AU644" s="112"/>
      <c r="AV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T645" s="112"/>
      <c r="AU645" s="112"/>
      <c r="AV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T646" s="112"/>
      <c r="AU646" s="112"/>
      <c r="AV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T647" s="112"/>
      <c r="AU647" s="112"/>
      <c r="AV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T648" s="112"/>
      <c r="AU648" s="112"/>
      <c r="AV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T649" s="112"/>
      <c r="AU649" s="112"/>
      <c r="AV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T650" s="112"/>
      <c r="AU650" s="112"/>
      <c r="AV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T651" s="112"/>
      <c r="AU651" s="112"/>
      <c r="AV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T652" s="112"/>
      <c r="AU652" s="112"/>
      <c r="AV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T653" s="112"/>
      <c r="AU653" s="112"/>
      <c r="AV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T654" s="112"/>
      <c r="AU654" s="112"/>
      <c r="AV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T655" s="112"/>
      <c r="AU655" s="112"/>
      <c r="AV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T656" s="112"/>
      <c r="AU656" s="112"/>
      <c r="AV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T657" s="112"/>
      <c r="AU657" s="112"/>
      <c r="AV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T658" s="112"/>
      <c r="AU658" s="112"/>
      <c r="AV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T659" s="112"/>
      <c r="AU659" s="112"/>
      <c r="AV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T660" s="112"/>
      <c r="AU660" s="112"/>
      <c r="AV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U661" s="112"/>
      <c r="AV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U662" s="112"/>
      <c r="AV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U663" s="112"/>
      <c r="AV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U664" s="112"/>
      <c r="AV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U665" s="112"/>
      <c r="AV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T666" s="112"/>
      <c r="AU666" s="112"/>
      <c r="AV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T667" s="112"/>
      <c r="AU667" s="112"/>
      <c r="AV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T668" s="112"/>
      <c r="AU668" s="112"/>
      <c r="AV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T669" s="112"/>
      <c r="AU669" s="112"/>
      <c r="AV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T670" s="112"/>
      <c r="AU670" s="112"/>
      <c r="AV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T671" s="112"/>
      <c r="AU671" s="112"/>
      <c r="AV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T672" s="112"/>
      <c r="AU672" s="112"/>
      <c r="AV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T673" s="112"/>
      <c r="AU673" s="112"/>
      <c r="AV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T674" s="112"/>
      <c r="AU674" s="112"/>
      <c r="AV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T675" s="112"/>
      <c r="AU675" s="112"/>
      <c r="AV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T676" s="112"/>
      <c r="AU676" s="112"/>
      <c r="AV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T677" s="112"/>
      <c r="AU677" s="112"/>
      <c r="AV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T678" s="112"/>
      <c r="AU678" s="112"/>
      <c r="AV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T679" s="112"/>
      <c r="AU679" s="112"/>
      <c r="AV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T680" s="112"/>
      <c r="AU680" s="112"/>
      <c r="AV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T681" s="112"/>
      <c r="AU681" s="112"/>
      <c r="AV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T682" s="112"/>
      <c r="AU682" s="112"/>
      <c r="AV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T683" s="112"/>
      <c r="AU683" s="112"/>
      <c r="AV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T684" s="112"/>
      <c r="AU684" s="112"/>
      <c r="AV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T685" s="112"/>
      <c r="AU685" s="112"/>
      <c r="AV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T686" s="112"/>
      <c r="AU686" s="112"/>
      <c r="AV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T687" s="112"/>
      <c r="AU687" s="112"/>
      <c r="AV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T688" s="112"/>
      <c r="AU688" s="112"/>
      <c r="AV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T689" s="112"/>
      <c r="AU689" s="112"/>
      <c r="AV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T690" s="112"/>
      <c r="AU690" s="112"/>
      <c r="AV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T691" s="112"/>
      <c r="AU691" s="112"/>
      <c r="AV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T692" s="112"/>
      <c r="AU692" s="112"/>
      <c r="AV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T693" s="112"/>
      <c r="AU693" s="112"/>
      <c r="AV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T694" s="112"/>
      <c r="AU694" s="112"/>
      <c r="AV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U695" s="112"/>
      <c r="AV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T696" s="112"/>
      <c r="AU696" s="112"/>
      <c r="AV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T697" s="112"/>
      <c r="AU697" s="112"/>
      <c r="AV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T698" s="112"/>
      <c r="AU698" s="112"/>
      <c r="AV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T699" s="112"/>
      <c r="AU699" s="112"/>
      <c r="AV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T700" s="112"/>
      <c r="AU700" s="112"/>
      <c r="AV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T701" s="112"/>
      <c r="AU701" s="112"/>
      <c r="AV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T702" s="112"/>
      <c r="AU702" s="112"/>
      <c r="AV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T703" s="112"/>
      <c r="AU703" s="112"/>
      <c r="AV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T704" s="112"/>
      <c r="AU704" s="112"/>
      <c r="AV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T705" s="112"/>
      <c r="AU705" s="112"/>
      <c r="AV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T706" s="112"/>
      <c r="AU706" s="112"/>
      <c r="AV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T707" s="112"/>
      <c r="AU707" s="112"/>
      <c r="AV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T708" s="112"/>
      <c r="AU708" s="112"/>
      <c r="AV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T709" s="112"/>
      <c r="AU709" s="112"/>
      <c r="AV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T710" s="112"/>
      <c r="AU710" s="112"/>
      <c r="AV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T711" s="112"/>
      <c r="AU711" s="112"/>
      <c r="AV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T712" s="112"/>
      <c r="AU712" s="112"/>
      <c r="AV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T713" s="112"/>
      <c r="AU713" s="112"/>
      <c r="AV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T714" s="112"/>
      <c r="AU714" s="112"/>
      <c r="AV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U715" s="112"/>
      <c r="AV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U716" s="112"/>
      <c r="AV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U717" s="112"/>
      <c r="AV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U718" s="112"/>
      <c r="AV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U719" s="112"/>
      <c r="AV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U720" s="112"/>
      <c r="AV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T721" s="112"/>
      <c r="AU721" s="112"/>
      <c r="AV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T722" s="112"/>
      <c r="AU722" s="112"/>
      <c r="AV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T723" s="112"/>
      <c r="AU723" s="112"/>
      <c r="AV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T724" s="112"/>
      <c r="AU724" s="112"/>
      <c r="AV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T725" s="112"/>
      <c r="AU725" s="112"/>
      <c r="AV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T726" s="112"/>
      <c r="AU726" s="112"/>
      <c r="AV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T727" s="112"/>
      <c r="AU727" s="112"/>
      <c r="AV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T728" s="112"/>
      <c r="AU728" s="112"/>
      <c r="AV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T729" s="112"/>
      <c r="AU729" s="112"/>
      <c r="AV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T730" s="112"/>
      <c r="AU730" s="112"/>
      <c r="AV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T731" s="112"/>
      <c r="AU731" s="112"/>
      <c r="AV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T732" s="112"/>
      <c r="AU732" s="112"/>
      <c r="AV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T733" s="112"/>
      <c r="AU733" s="112"/>
      <c r="AV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T734" s="112"/>
      <c r="AU734" s="112"/>
      <c r="AV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T735" s="112"/>
      <c r="AU735" s="112"/>
      <c r="AV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T736" s="112"/>
      <c r="AU736" s="112"/>
      <c r="AV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T737" s="112"/>
      <c r="AU737" s="112"/>
      <c r="AV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T738" s="112"/>
      <c r="AU738" s="112"/>
      <c r="AV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T739" s="112"/>
      <c r="AU739" s="112"/>
      <c r="AV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T740" s="112"/>
      <c r="AU740" s="112"/>
      <c r="AV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T741" s="112"/>
      <c r="AU741" s="112"/>
      <c r="AV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T742" s="112"/>
      <c r="AU742" s="112"/>
      <c r="AV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T743" s="112"/>
      <c r="AU743" s="112"/>
      <c r="AV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T744" s="112"/>
      <c r="AU744" s="112"/>
      <c r="AV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T745" s="112"/>
      <c r="AU745" s="112"/>
      <c r="AV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T746" s="112"/>
      <c r="AU746" s="112"/>
      <c r="AV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T747" s="112"/>
      <c r="AU747" s="112"/>
      <c r="AV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T748" s="112"/>
      <c r="AU748" s="112"/>
      <c r="AV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T749" s="112"/>
      <c r="AU749" s="112"/>
      <c r="AV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T750" s="112"/>
      <c r="AU750" s="112"/>
      <c r="AV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T751" s="112"/>
      <c r="AU751" s="112"/>
      <c r="AV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T752" s="112"/>
      <c r="AU752" s="112"/>
      <c r="AV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T753" s="112"/>
      <c r="AU753" s="112"/>
      <c r="AV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T754" s="112"/>
      <c r="AU754" s="112"/>
      <c r="AV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T755" s="112"/>
      <c r="AU755" s="112"/>
      <c r="AV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T756" s="112"/>
      <c r="AU756" s="112"/>
      <c r="AV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U757" s="112"/>
      <c r="AV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T758" s="112"/>
      <c r="AU758" s="112"/>
      <c r="AV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T759" s="112"/>
      <c r="AU759" s="112"/>
      <c r="AV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T760" s="112"/>
      <c r="AU760" s="112"/>
      <c r="AV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T761" s="112"/>
      <c r="AU761" s="112"/>
      <c r="AV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T762" s="112"/>
      <c r="AU762" s="112"/>
      <c r="AV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T763" s="112"/>
      <c r="AU763" s="112"/>
      <c r="AV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U764" s="112"/>
      <c r="AV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T765" s="112"/>
      <c r="AU765" s="112"/>
      <c r="AV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T766" s="112"/>
      <c r="AU766" s="112"/>
      <c r="AV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T767" s="112"/>
      <c r="AU767" s="112"/>
      <c r="AV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T768" s="112"/>
      <c r="AU768" s="112"/>
      <c r="AV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T769" s="112"/>
      <c r="AU769" s="112"/>
      <c r="AV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T770" s="112"/>
      <c r="AU770" s="112"/>
      <c r="AV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T771" s="112"/>
      <c r="AU771" s="112"/>
      <c r="AV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T772" s="112"/>
      <c r="AU772" s="112"/>
      <c r="AV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T773" s="112"/>
      <c r="AU773" s="112"/>
      <c r="AV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T774" s="112"/>
      <c r="AU774" s="112"/>
      <c r="AV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T775" s="112"/>
      <c r="AU775" s="112"/>
      <c r="AV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T776" s="112"/>
      <c r="AU776" s="112"/>
      <c r="AV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T777" s="112"/>
      <c r="AU777" s="112"/>
      <c r="AV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T778" s="112"/>
      <c r="AU778" s="112"/>
      <c r="AV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T779" s="112"/>
      <c r="AU779" s="112"/>
      <c r="AV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T780" s="112"/>
      <c r="AU780" s="112"/>
      <c r="AV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T781" s="112"/>
      <c r="AU781" s="112"/>
      <c r="AV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T782" s="112"/>
      <c r="AU782" s="112"/>
      <c r="AV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112"/>
      <c r="AU783" s="112"/>
      <c r="AV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T784" s="112"/>
      <c r="AU784" s="112"/>
      <c r="AV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T785" s="112"/>
      <c r="AU785" s="112"/>
      <c r="AV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T786" s="112"/>
      <c r="AU786" s="112"/>
      <c r="AV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T787" s="112"/>
      <c r="AU787" s="112"/>
      <c r="AV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T788" s="112"/>
      <c r="AU788" s="112"/>
      <c r="AV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T789" s="112"/>
      <c r="AU789" s="112"/>
      <c r="AV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T790" s="112"/>
      <c r="AU790" s="112"/>
      <c r="AV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T791" s="112"/>
      <c r="AU791" s="112"/>
      <c r="AV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T792" s="112"/>
      <c r="AU792" s="112"/>
      <c r="AV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T793" s="112"/>
      <c r="AU793" s="112"/>
      <c r="AV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/>
      <c r="AU794" s="112"/>
      <c r="AV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/>
      <c r="AU795" s="112"/>
      <c r="AV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T796" s="112"/>
      <c r="AU796" s="112"/>
      <c r="AV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T797" s="112"/>
      <c r="AU797" s="112"/>
      <c r="AV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T798" s="112"/>
      <c r="AU798" s="112"/>
      <c r="AV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T799" s="112"/>
      <c r="AU799" s="112"/>
      <c r="AV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T800" s="112"/>
      <c r="AU800" s="112"/>
      <c r="AV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T801" s="112"/>
      <c r="AU801" s="112"/>
      <c r="AV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T802" s="112"/>
      <c r="AU802" s="112"/>
      <c r="AV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T803" s="112"/>
      <c r="AU803" s="112"/>
      <c r="AV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T804" s="112"/>
      <c r="AU804" s="112"/>
      <c r="AV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T805" s="112"/>
      <c r="AU805" s="112"/>
      <c r="AV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T806" s="112"/>
      <c r="AU806" s="112"/>
      <c r="AV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T807" s="112"/>
      <c r="AU807" s="112"/>
      <c r="AV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T808" s="112"/>
      <c r="AU808" s="112"/>
      <c r="AV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T809" s="112"/>
      <c r="AU809" s="112"/>
      <c r="AV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T810" s="112"/>
      <c r="AU810" s="112"/>
      <c r="AV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T811" s="112"/>
      <c r="AU811" s="112"/>
      <c r="AV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T812" s="112"/>
      <c r="AU812" s="112"/>
      <c r="AV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T813" s="112"/>
      <c r="AU813" s="112"/>
      <c r="AV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T814" s="112"/>
      <c r="AU814" s="112"/>
      <c r="AV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T815" s="112"/>
      <c r="AU815" s="112"/>
      <c r="AV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T816" s="112"/>
      <c r="AU816" s="112"/>
      <c r="AV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T817" s="112"/>
      <c r="AU817" s="112"/>
      <c r="AV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  <c r="AU818" s="112"/>
      <c r="AV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  <c r="AU819" s="112"/>
      <c r="AV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T820" s="112"/>
      <c r="AU820" s="112"/>
      <c r="AV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T821" s="112"/>
      <c r="AU821" s="112"/>
      <c r="AV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  <c r="AU822" s="112"/>
      <c r="AV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T823" s="112"/>
      <c r="AU823" s="112"/>
      <c r="AV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T824" s="112"/>
      <c r="AU824" s="112"/>
      <c r="AV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T825" s="112"/>
      <c r="AU825" s="112"/>
      <c r="AV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T826" s="112"/>
      <c r="AU826" s="112"/>
      <c r="AV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T827" s="112"/>
      <c r="AU827" s="112"/>
      <c r="AV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T828" s="112"/>
      <c r="AU828" s="112"/>
      <c r="AV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112"/>
      <c r="AU829" s="112"/>
      <c r="AV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T830" s="112"/>
      <c r="AU830" s="112"/>
      <c r="AV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T831" s="112"/>
      <c r="AU831" s="112"/>
      <c r="AV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T832" s="112"/>
      <c r="AU832" s="112"/>
      <c r="AV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T833" s="112"/>
      <c r="AU833" s="112"/>
      <c r="AV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T834" s="112"/>
      <c r="AU834" s="112"/>
      <c r="AV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T835" s="112"/>
      <c r="AU835" s="112"/>
      <c r="AV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T836" s="112"/>
      <c r="AU836" s="112"/>
      <c r="AV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T837" s="112"/>
      <c r="AU837" s="112"/>
      <c r="AV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T838" s="112"/>
      <c r="AU838" s="112"/>
      <c r="AV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T839" s="112"/>
      <c r="AU839" s="112"/>
      <c r="AV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T840" s="112"/>
      <c r="AU840" s="112"/>
      <c r="AV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T841" s="112"/>
      <c r="AU841" s="112"/>
      <c r="AV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T842" s="112"/>
      <c r="AU842" s="112"/>
      <c r="AV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T843" s="112"/>
      <c r="AU843" s="112"/>
      <c r="AV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T844" s="112"/>
      <c r="AU844" s="112"/>
      <c r="AV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T845" s="112"/>
      <c r="AU845" s="112"/>
      <c r="AV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T846" s="112"/>
      <c r="AU846" s="112"/>
      <c r="AV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T847" s="112"/>
      <c r="AU847" s="112"/>
      <c r="AV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T848" s="112"/>
      <c r="AU848" s="112"/>
      <c r="AV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T849" s="112"/>
      <c r="AU849" s="112"/>
      <c r="AV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T850" s="112"/>
      <c r="AU850" s="112"/>
      <c r="AV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T851" s="112"/>
      <c r="AU851" s="112"/>
      <c r="AV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T852" s="112"/>
      <c r="AU852" s="112"/>
      <c r="AV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U853" s="112"/>
      <c r="AV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T854" s="112"/>
      <c r="AU854" s="112"/>
      <c r="AV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T855" s="112"/>
      <c r="AU855" s="112"/>
      <c r="AV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T856" s="112"/>
      <c r="AU856" s="112"/>
      <c r="AV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T857" s="112"/>
      <c r="AU857" s="112"/>
      <c r="AV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T858" s="112"/>
      <c r="AU858" s="112"/>
      <c r="AV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T859" s="112"/>
      <c r="AU859" s="112"/>
      <c r="AV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T860" s="112"/>
      <c r="AU860" s="112"/>
      <c r="AV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T861" s="112"/>
      <c r="AU861" s="112"/>
      <c r="AV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T862" s="112"/>
      <c r="AU862" s="112"/>
      <c r="AV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T863" s="112"/>
      <c r="AU863" s="112"/>
      <c r="AV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112"/>
      <c r="AU864" s="112"/>
      <c r="AV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T865" s="112"/>
      <c r="AU865" s="112"/>
      <c r="AV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T866" s="112"/>
      <c r="AU866" s="112"/>
      <c r="AV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T867" s="112"/>
      <c r="AU867" s="112"/>
      <c r="AV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T868" s="112"/>
      <c r="AU868" s="112"/>
      <c r="AV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T869" s="112"/>
      <c r="AU869" s="112"/>
      <c r="AV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T870" s="112"/>
      <c r="AU870" s="112"/>
      <c r="AV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T871" s="112"/>
      <c r="AU871" s="112"/>
      <c r="AV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T872" s="112"/>
      <c r="AU872" s="112"/>
      <c r="AV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T873" s="112"/>
      <c r="AU873" s="112"/>
      <c r="AV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T874" s="112"/>
      <c r="AU874" s="112"/>
      <c r="AV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T875" s="112"/>
      <c r="AU875" s="112"/>
      <c r="AV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T876" s="112"/>
      <c r="AU876" s="112"/>
      <c r="AV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T877" s="112"/>
      <c r="AU877" s="112"/>
      <c r="AV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T878" s="112"/>
      <c r="AU878" s="112"/>
      <c r="AV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T879" s="112"/>
      <c r="AU879" s="112"/>
      <c r="AV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T880" s="112"/>
      <c r="AU880" s="112"/>
      <c r="AV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T881" s="112"/>
      <c r="AU881" s="112"/>
      <c r="AV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T882" s="112"/>
      <c r="AU882" s="112"/>
      <c r="AV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T883" s="112"/>
      <c r="AU883" s="112"/>
      <c r="AV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T884" s="112"/>
      <c r="AU884" s="112"/>
      <c r="AV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T885" s="112"/>
      <c r="AU885" s="112"/>
      <c r="AV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T886" s="112"/>
      <c r="AU886" s="112"/>
      <c r="AV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T887" s="112"/>
      <c r="AU887" s="112"/>
      <c r="AV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T888" s="112"/>
      <c r="AU888" s="112"/>
      <c r="AV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U889" s="112"/>
      <c r="AV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U890" s="112"/>
      <c r="AV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U891" s="112"/>
      <c r="AV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T892" s="112"/>
      <c r="AU892" s="112"/>
      <c r="AV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T893" s="112"/>
      <c r="AU893" s="112"/>
      <c r="AV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T894" s="112"/>
      <c r="AU894" s="112"/>
      <c r="AV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T895" s="112"/>
      <c r="AU895" s="112"/>
      <c r="AV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T896" s="112"/>
      <c r="AU896" s="112"/>
      <c r="AV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T897" s="112"/>
      <c r="AU897" s="112"/>
      <c r="AV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T898" s="112"/>
      <c r="AU898" s="112"/>
      <c r="AV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T899" s="112"/>
      <c r="AU899" s="112"/>
      <c r="AV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T900" s="112"/>
      <c r="AU900" s="112"/>
      <c r="AV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T901" s="112"/>
      <c r="AU901" s="112"/>
      <c r="AV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T902" s="112"/>
      <c r="AU902" s="112"/>
      <c r="AV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T903" s="112"/>
      <c r="AU903" s="112"/>
      <c r="AV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T904" s="112"/>
      <c r="AU904" s="112"/>
      <c r="AV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T905" s="112"/>
      <c r="AU905" s="112"/>
      <c r="AV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T906" s="112"/>
      <c r="AU906" s="112"/>
      <c r="AV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T907" s="112"/>
      <c r="AU907" s="112"/>
      <c r="AV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T908" s="112"/>
      <c r="AU908" s="112"/>
      <c r="AV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T909" s="112"/>
      <c r="AU909" s="112"/>
      <c r="AV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T910" s="112"/>
      <c r="AU910" s="112"/>
      <c r="AV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T911" s="112"/>
      <c r="AU911" s="112"/>
      <c r="AV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T912" s="112"/>
      <c r="AU912" s="112"/>
      <c r="AV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T913" s="112"/>
      <c r="AU913" s="112"/>
      <c r="AV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T914" s="112"/>
      <c r="AU914" s="112"/>
      <c r="AV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T915" s="112"/>
      <c r="AU915" s="112"/>
      <c r="AV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T916" s="112"/>
      <c r="AU916" s="112"/>
      <c r="AV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T917" s="112"/>
      <c r="AU917" s="112"/>
      <c r="AV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T918" s="112"/>
      <c r="AU918" s="112"/>
      <c r="AV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T919" s="112"/>
      <c r="AU919" s="112"/>
      <c r="AV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T920" s="112"/>
      <c r="AU920" s="112"/>
      <c r="AV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T921" s="112"/>
      <c r="AU921" s="112"/>
      <c r="AV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T922" s="112"/>
      <c r="AU922" s="112"/>
      <c r="AV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T923" s="112"/>
      <c r="AU923" s="112"/>
      <c r="AV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T924" s="112"/>
      <c r="AU924" s="112"/>
      <c r="AV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T925" s="112"/>
      <c r="AU925" s="112"/>
      <c r="AV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T926" s="112"/>
      <c r="AU926" s="112"/>
      <c r="AV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T927" s="112"/>
      <c r="AU927" s="112"/>
      <c r="AV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T928" s="112"/>
      <c r="AU928" s="112"/>
      <c r="AV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U929" s="112"/>
      <c r="AV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T930" s="112"/>
      <c r="AU930" s="112"/>
      <c r="AV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T931" s="112"/>
      <c r="AU931" s="112"/>
      <c r="AV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T932" s="112"/>
      <c r="AU932" s="112"/>
      <c r="AV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T933" s="112"/>
      <c r="AU933" s="112"/>
      <c r="AV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T934" s="112"/>
      <c r="AU934" s="112"/>
      <c r="AV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T935" s="112"/>
      <c r="AU935" s="112"/>
      <c r="AV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T936" s="112"/>
      <c r="AU936" s="112"/>
      <c r="AV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T937" s="112"/>
      <c r="AU937" s="112"/>
      <c r="AV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T938" s="112"/>
      <c r="AU938" s="112"/>
      <c r="AV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T939" s="112"/>
      <c r="AU939" s="112"/>
      <c r="AV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T940" s="112"/>
      <c r="AU940" s="112"/>
      <c r="AV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T941" s="112"/>
      <c r="AU941" s="112"/>
      <c r="AV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T942" s="112"/>
      <c r="AU942" s="112"/>
      <c r="AV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T943" s="112"/>
      <c r="AU943" s="112"/>
      <c r="AV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T944" s="112"/>
      <c r="AU944" s="112"/>
      <c r="AV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T945" s="112"/>
      <c r="AU945" s="112"/>
      <c r="AV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T946" s="112"/>
      <c r="AU946" s="112"/>
      <c r="AV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T947" s="112"/>
      <c r="AU947" s="112"/>
      <c r="AV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T948" s="112"/>
      <c r="AU948" s="112"/>
      <c r="AV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U949" s="112"/>
      <c r="AV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T950" s="112"/>
      <c r="AU950" s="112"/>
      <c r="AV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T951" s="112"/>
      <c r="AU951" s="112"/>
      <c r="AV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T952" s="112"/>
      <c r="AU952" s="112"/>
      <c r="AV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T953" s="112"/>
      <c r="AU953" s="112"/>
      <c r="AV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T954" s="112"/>
      <c r="AU954" s="112"/>
      <c r="AV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T955" s="112"/>
      <c r="AU955" s="112"/>
      <c r="AV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T956" s="112"/>
      <c r="AU956" s="112"/>
      <c r="AV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T957" s="112"/>
      <c r="AU957" s="112"/>
      <c r="AV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T958" s="112"/>
      <c r="AU958" s="112"/>
      <c r="AV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T959" s="112"/>
      <c r="AU959" s="112"/>
      <c r="AV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T960" s="112"/>
      <c r="AU960" s="112"/>
      <c r="AV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T961" s="112"/>
      <c r="AU961" s="112"/>
      <c r="AV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T962" s="112"/>
      <c r="AU962" s="112"/>
      <c r="AV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T963" s="112"/>
      <c r="AU963" s="112"/>
      <c r="AV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T964" s="112"/>
      <c r="AU964" s="112"/>
      <c r="AV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T965" s="112"/>
      <c r="AU965" s="112"/>
      <c r="AV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T966" s="112"/>
      <c r="AU966" s="112"/>
      <c r="AV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T967" s="112"/>
      <c r="AU967" s="112"/>
      <c r="AV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T968" s="112"/>
      <c r="AU968" s="112"/>
      <c r="AV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T969" s="112"/>
      <c r="AU969" s="112"/>
      <c r="AV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T970" s="112"/>
      <c r="AU970" s="112"/>
      <c r="AV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T971" s="112"/>
      <c r="AU971" s="112"/>
      <c r="AV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T972" s="112"/>
      <c r="AU972" s="112"/>
      <c r="AV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T973" s="112"/>
      <c r="AU973" s="112"/>
      <c r="AV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T974" s="112"/>
      <c r="AU974" s="112"/>
      <c r="AV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T975" s="112"/>
      <c r="AU975" s="112"/>
      <c r="AV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T976" s="112"/>
      <c r="AU976" s="112"/>
      <c r="AV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T977" s="112"/>
      <c r="AU977" s="112"/>
      <c r="AV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T978" s="112"/>
      <c r="AU978" s="112"/>
      <c r="AV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T979" s="112"/>
      <c r="AU979" s="112"/>
      <c r="AV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T980" s="112"/>
      <c r="AU980" s="112"/>
      <c r="AV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T981" s="112"/>
      <c r="AU981" s="112"/>
      <c r="AV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T982" s="112"/>
      <c r="AU982" s="112"/>
      <c r="AV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T983" s="112"/>
      <c r="AU983" s="112"/>
      <c r="AV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T984" s="112"/>
      <c r="AU984" s="112"/>
      <c r="AV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T985" s="112"/>
      <c r="AU985" s="112"/>
      <c r="AV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T986" s="112"/>
      <c r="AU986" s="112"/>
      <c r="AV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U987" s="112"/>
      <c r="AV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T988" s="112"/>
      <c r="AU988" s="112"/>
      <c r="AV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T989" s="112"/>
      <c r="AU989" s="112"/>
      <c r="AV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T990" s="112"/>
      <c r="AU990" s="112"/>
      <c r="AV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T991" s="112"/>
      <c r="AU991" s="112"/>
      <c r="AV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T992" s="112"/>
      <c r="AU992" s="112"/>
      <c r="AV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T993" s="112"/>
      <c r="AU993" s="112"/>
      <c r="AV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T994" s="112"/>
      <c r="AU994" s="112"/>
      <c r="AV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T995" s="112"/>
      <c r="AU995" s="112"/>
      <c r="AV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T996" s="112"/>
      <c r="AU996" s="112"/>
      <c r="AV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T997" s="112"/>
      <c r="AU997" s="112"/>
      <c r="AV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T998" s="112"/>
      <c r="AU998" s="112"/>
      <c r="AV998" s="112"/>
    </row>
  </sheetData>
  <mergeCells count="17">
    <mergeCell ref="A3:A4"/>
    <mergeCell ref="B3:B4"/>
    <mergeCell ref="C3:C4"/>
    <mergeCell ref="AI3:AI4"/>
    <mergeCell ref="AJ3:AJ4"/>
    <mergeCell ref="AK3:AK4"/>
    <mergeCell ref="AL3:AL4"/>
    <mergeCell ref="AT3:AT4"/>
    <mergeCell ref="AU3:AU4"/>
    <mergeCell ref="AV3:AV4"/>
    <mergeCell ref="AM3:AM4"/>
    <mergeCell ref="AN3:AN4"/>
    <mergeCell ref="AO3:AO4"/>
    <mergeCell ref="AP3:AP4"/>
    <mergeCell ref="AQ3:AQ4"/>
    <mergeCell ref="AR3:AR4"/>
    <mergeCell ref="AS3:AS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25"/>
    <col customWidth="1" min="2" max="2" width="18.75"/>
    <col customWidth="1" min="3" max="3" width="27.38"/>
  </cols>
  <sheetData>
    <row r="2">
      <c r="A2" s="113" t="s">
        <v>0</v>
      </c>
      <c r="B2" s="113" t="s">
        <v>1</v>
      </c>
      <c r="C2" s="113" t="s">
        <v>2</v>
      </c>
      <c r="D2" s="5">
        <v>46266.0</v>
      </c>
      <c r="E2" s="5">
        <v>46267.0</v>
      </c>
      <c r="F2" s="5">
        <v>46268.0</v>
      </c>
      <c r="G2" s="5">
        <v>46269.0</v>
      </c>
      <c r="H2" s="5">
        <v>46270.0</v>
      </c>
      <c r="I2" s="5">
        <v>46271.0</v>
      </c>
      <c r="J2" s="5">
        <v>46272.0</v>
      </c>
      <c r="K2" s="5">
        <v>46273.0</v>
      </c>
      <c r="L2" s="5">
        <v>46274.0</v>
      </c>
      <c r="M2" s="5">
        <v>46275.0</v>
      </c>
      <c r="N2" s="5">
        <v>46276.0</v>
      </c>
      <c r="O2" s="5">
        <v>46277.0</v>
      </c>
      <c r="P2" s="5">
        <v>46278.0</v>
      </c>
      <c r="Q2" s="5">
        <v>46279.0</v>
      </c>
      <c r="R2" s="5">
        <v>46280.0</v>
      </c>
      <c r="S2" s="5">
        <v>46281.0</v>
      </c>
      <c r="T2" s="5">
        <v>46282.0</v>
      </c>
      <c r="U2" s="5">
        <v>46283.0</v>
      </c>
      <c r="V2" s="5">
        <v>46284.0</v>
      </c>
      <c r="W2" s="5">
        <v>46285.0</v>
      </c>
      <c r="X2" s="5">
        <v>46286.0</v>
      </c>
      <c r="Y2" s="5">
        <v>46287.0</v>
      </c>
      <c r="Z2" s="5">
        <v>46288.0</v>
      </c>
      <c r="AA2" s="5">
        <v>46289.0</v>
      </c>
      <c r="AB2" s="5">
        <v>46290.0</v>
      </c>
      <c r="AC2" s="5">
        <v>46291.0</v>
      </c>
      <c r="AD2" s="5">
        <v>46292.0</v>
      </c>
      <c r="AE2" s="5">
        <v>46293.0</v>
      </c>
      <c r="AF2" s="5">
        <v>46294.0</v>
      </c>
      <c r="AG2" s="5">
        <v>46295.0</v>
      </c>
      <c r="AH2" s="8" t="s">
        <v>3</v>
      </c>
      <c r="AI2" s="10" t="s">
        <v>4</v>
      </c>
      <c r="AJ2" s="12" t="s">
        <v>5</v>
      </c>
      <c r="AK2" s="14" t="s">
        <v>6</v>
      </c>
      <c r="AL2" s="16" t="s">
        <v>12</v>
      </c>
      <c r="AM2" s="18" t="s">
        <v>9</v>
      </c>
      <c r="AN2" s="19" t="s">
        <v>10</v>
      </c>
      <c r="AO2" s="21" t="s">
        <v>11</v>
      </c>
      <c r="AP2" s="22" t="s">
        <v>81</v>
      </c>
      <c r="AQ2" s="22" t="s">
        <v>13</v>
      </c>
      <c r="AR2" s="22" t="s">
        <v>14</v>
      </c>
      <c r="AS2" s="22" t="s">
        <v>15</v>
      </c>
      <c r="AT2" s="22" t="s">
        <v>16</v>
      </c>
      <c r="AU2" s="22" t="s">
        <v>17</v>
      </c>
    </row>
    <row r="3" ht="22.5" customHeight="1">
      <c r="A3" s="26"/>
      <c r="B3" s="26"/>
      <c r="C3" s="26"/>
      <c r="D3" s="28" t="s">
        <v>25</v>
      </c>
      <c r="E3" s="28" t="s">
        <v>18</v>
      </c>
      <c r="F3" s="28" t="s">
        <v>19</v>
      </c>
      <c r="G3" s="28" t="s">
        <v>20</v>
      </c>
      <c r="H3" s="28" t="s">
        <v>21</v>
      </c>
      <c r="I3" s="120" t="s">
        <v>22</v>
      </c>
      <c r="J3" s="28" t="s">
        <v>24</v>
      </c>
      <c r="K3" s="28" t="s">
        <v>25</v>
      </c>
      <c r="L3" s="28" t="s">
        <v>18</v>
      </c>
      <c r="M3" s="28" t="s">
        <v>19</v>
      </c>
      <c r="N3" s="28" t="s">
        <v>20</v>
      </c>
      <c r="O3" s="28" t="s">
        <v>21</v>
      </c>
      <c r="P3" s="120" t="s">
        <v>22</v>
      </c>
      <c r="Q3" s="28" t="s">
        <v>24</v>
      </c>
      <c r="R3" s="28" t="s">
        <v>25</v>
      </c>
      <c r="S3" s="28" t="s">
        <v>18</v>
      </c>
      <c r="T3" s="28" t="s">
        <v>19</v>
      </c>
      <c r="U3" s="28" t="s">
        <v>20</v>
      </c>
      <c r="V3" s="28" t="s">
        <v>21</v>
      </c>
      <c r="W3" s="120" t="s">
        <v>22</v>
      </c>
      <c r="X3" s="28" t="s">
        <v>24</v>
      </c>
      <c r="Y3" s="28" t="s">
        <v>25</v>
      </c>
      <c r="Z3" s="28" t="s">
        <v>18</v>
      </c>
      <c r="AA3" s="28" t="s">
        <v>19</v>
      </c>
      <c r="AB3" s="28" t="s">
        <v>20</v>
      </c>
      <c r="AC3" s="28" t="s">
        <v>21</v>
      </c>
      <c r="AD3" s="120" t="s">
        <v>22</v>
      </c>
      <c r="AE3" s="28" t="s">
        <v>24</v>
      </c>
      <c r="AF3" s="28" t="s">
        <v>25</v>
      </c>
      <c r="AG3" s="28" t="s">
        <v>18</v>
      </c>
      <c r="AH3" s="26"/>
      <c r="AI3" s="26"/>
      <c r="AJ3" s="26"/>
      <c r="AK3" s="26"/>
      <c r="AL3" s="26"/>
      <c r="AM3" s="26"/>
      <c r="AN3" s="33"/>
      <c r="AO3" s="37"/>
      <c r="AP3" s="37"/>
      <c r="AQ3" s="37"/>
      <c r="AR3" s="37"/>
      <c r="AS3" s="37"/>
      <c r="AT3" s="37"/>
      <c r="AU3" s="37"/>
    </row>
    <row r="4">
      <c r="A4" s="115">
        <v>1.0</v>
      </c>
      <c r="B4" s="116" t="s">
        <v>32</v>
      </c>
      <c r="C4" s="117" t="s">
        <v>33</v>
      </c>
      <c r="D4" s="40" t="s">
        <v>34</v>
      </c>
      <c r="E4" s="40" t="s">
        <v>34</v>
      </c>
      <c r="F4" s="40" t="s">
        <v>34</v>
      </c>
      <c r="G4" s="118" t="s">
        <v>34</v>
      </c>
      <c r="H4" s="118" t="s">
        <v>34</v>
      </c>
      <c r="I4" s="41" t="s">
        <v>35</v>
      </c>
      <c r="J4" s="40" t="s">
        <v>34</v>
      </c>
      <c r="K4" s="40" t="s">
        <v>34</v>
      </c>
      <c r="L4" s="40" t="s">
        <v>34</v>
      </c>
      <c r="M4" s="40" t="s">
        <v>34</v>
      </c>
      <c r="N4" s="118" t="s">
        <v>34</v>
      </c>
      <c r="O4" s="40" t="s">
        <v>82</v>
      </c>
      <c r="P4" s="41" t="s">
        <v>35</v>
      </c>
      <c r="Q4" s="40" t="s">
        <v>82</v>
      </c>
      <c r="R4" s="40" t="s">
        <v>34</v>
      </c>
      <c r="S4" s="40" t="s">
        <v>34</v>
      </c>
      <c r="T4" s="40" t="s">
        <v>34</v>
      </c>
      <c r="U4" s="118" t="s">
        <v>82</v>
      </c>
      <c r="V4" s="40" t="s">
        <v>34</v>
      </c>
      <c r="W4" s="41" t="s">
        <v>35</v>
      </c>
      <c r="X4" s="40" t="s">
        <v>6</v>
      </c>
      <c r="Y4" s="40"/>
      <c r="Z4" s="41"/>
      <c r="AA4" s="118"/>
      <c r="AB4" s="118"/>
      <c r="AC4" s="40"/>
      <c r="AD4" s="41" t="s">
        <v>35</v>
      </c>
      <c r="AE4" s="40"/>
      <c r="AF4" s="40"/>
      <c r="AG4" s="41"/>
      <c r="AH4" s="44">
        <f t="shared" ref="AH4:AH18" si="1">COUNTIF(D4:AG4,"P")</f>
        <v>17</v>
      </c>
      <c r="AI4" s="44">
        <f t="shared" ref="AI4:AI18" si="2">COUNTIF(D4:AG4,"A")</f>
        <v>0</v>
      </c>
      <c r="AJ4" s="44">
        <f t="shared" ref="AJ4:AJ18" si="3">COUNTIF(D4:AG4,"H")</f>
        <v>4</v>
      </c>
      <c r="AK4" s="44">
        <f t="shared" ref="AK4:AK18" si="4">COUNTIF(D4:AG4,"CL")</f>
        <v>1</v>
      </c>
      <c r="AL4" s="44">
        <f t="shared" ref="AL4:AL18" si="5">COUNTIF(D4:AG4,"EL")</f>
        <v>0</v>
      </c>
      <c r="AM4" s="44">
        <f t="shared" ref="AM4:AM18" si="6">COUNTIF(D4:AG4,"LOP")</f>
        <v>0</v>
      </c>
      <c r="AN4" s="119">
        <f t="shared" ref="AN4:AN18" si="7">sum(AH4,AJ4,AK4,AL4)</f>
        <v>22</v>
      </c>
      <c r="AO4" s="51">
        <v>25000.0</v>
      </c>
      <c r="AP4" s="53">
        <f t="shared" ref="AP4:AP18" si="8">AO4/30</f>
        <v>833.3333333</v>
      </c>
      <c r="AQ4" s="53">
        <f t="shared" ref="AQ4:AQ18" si="9">AO4/30*AN4</f>
        <v>18333.33333</v>
      </c>
      <c r="AR4" s="54">
        <v>200.0</v>
      </c>
      <c r="AS4" s="55">
        <f t="shared" ref="AS4:AS18" si="10">AQ4-AR4</f>
        <v>18133.33333</v>
      </c>
      <c r="AT4" s="54">
        <v>0.0</v>
      </c>
      <c r="AU4" s="122">
        <f t="shared" ref="AU4:AU18" si="11">AS4+AT4</f>
        <v>18133.33333</v>
      </c>
    </row>
    <row r="5">
      <c r="A5" s="115">
        <v>2.0</v>
      </c>
      <c r="B5" s="116" t="s">
        <v>36</v>
      </c>
      <c r="C5" s="117" t="s">
        <v>33</v>
      </c>
      <c r="D5" s="40" t="s">
        <v>34</v>
      </c>
      <c r="E5" s="40" t="s">
        <v>34</v>
      </c>
      <c r="F5" s="40" t="s">
        <v>34</v>
      </c>
      <c r="G5" s="118" t="s">
        <v>34</v>
      </c>
      <c r="H5" s="118" t="s">
        <v>34</v>
      </c>
      <c r="I5" s="41" t="s">
        <v>35</v>
      </c>
      <c r="J5" s="40" t="s">
        <v>34</v>
      </c>
      <c r="K5" s="40" t="s">
        <v>34</v>
      </c>
      <c r="L5" s="40" t="s">
        <v>34</v>
      </c>
      <c r="M5" s="40" t="s">
        <v>34</v>
      </c>
      <c r="N5" s="118" t="s">
        <v>34</v>
      </c>
      <c r="O5" s="40" t="s">
        <v>82</v>
      </c>
      <c r="P5" s="41" t="s">
        <v>35</v>
      </c>
      <c r="Q5" s="40" t="s">
        <v>82</v>
      </c>
      <c r="R5" s="40" t="s">
        <v>34</v>
      </c>
      <c r="S5" s="40" t="s">
        <v>34</v>
      </c>
      <c r="T5" s="40" t="s">
        <v>34</v>
      </c>
      <c r="U5" s="118" t="s">
        <v>82</v>
      </c>
      <c r="V5" s="40" t="s">
        <v>34</v>
      </c>
      <c r="W5" s="41" t="s">
        <v>35</v>
      </c>
      <c r="X5" s="40" t="s">
        <v>34</v>
      </c>
      <c r="Y5" s="40"/>
      <c r="Z5" s="41"/>
      <c r="AA5" s="118"/>
      <c r="AB5" s="118"/>
      <c r="AC5" s="40"/>
      <c r="AD5" s="41" t="s">
        <v>35</v>
      </c>
      <c r="AE5" s="40"/>
      <c r="AF5" s="40"/>
      <c r="AG5" s="41"/>
      <c r="AH5" s="44">
        <f t="shared" si="1"/>
        <v>18</v>
      </c>
      <c r="AI5" s="44">
        <f t="shared" si="2"/>
        <v>0</v>
      </c>
      <c r="AJ5" s="44">
        <f t="shared" si="3"/>
        <v>4</v>
      </c>
      <c r="AK5" s="44">
        <f t="shared" si="4"/>
        <v>0</v>
      </c>
      <c r="AL5" s="44">
        <f t="shared" si="5"/>
        <v>0</v>
      </c>
      <c r="AM5" s="44">
        <f t="shared" si="6"/>
        <v>0</v>
      </c>
      <c r="AN5" s="119">
        <f t="shared" si="7"/>
        <v>22</v>
      </c>
      <c r="AO5" s="51">
        <v>25000.0</v>
      </c>
      <c r="AP5" s="53">
        <f t="shared" si="8"/>
        <v>833.3333333</v>
      </c>
      <c r="AQ5" s="53">
        <f t="shared" si="9"/>
        <v>18333.33333</v>
      </c>
      <c r="AR5" s="54">
        <v>200.0</v>
      </c>
      <c r="AS5" s="55">
        <f t="shared" si="10"/>
        <v>18133.33333</v>
      </c>
      <c r="AT5" s="54">
        <v>0.0</v>
      </c>
      <c r="AU5" s="122">
        <f t="shared" si="11"/>
        <v>18133.33333</v>
      </c>
    </row>
    <row r="6">
      <c r="A6" s="115">
        <v>3.0</v>
      </c>
      <c r="B6" s="116" t="s">
        <v>41</v>
      </c>
      <c r="C6" s="117" t="s">
        <v>42</v>
      </c>
      <c r="D6" s="40" t="s">
        <v>34</v>
      </c>
      <c r="E6" s="40" t="s">
        <v>34</v>
      </c>
      <c r="F6" s="40" t="s">
        <v>34</v>
      </c>
      <c r="G6" s="118" t="s">
        <v>34</v>
      </c>
      <c r="H6" s="118" t="s">
        <v>34</v>
      </c>
      <c r="I6" s="41" t="s">
        <v>35</v>
      </c>
      <c r="J6" s="40" t="s">
        <v>34</v>
      </c>
      <c r="K6" s="40" t="s">
        <v>34</v>
      </c>
      <c r="L6" s="40" t="s">
        <v>34</v>
      </c>
      <c r="M6" s="40" t="s">
        <v>34</v>
      </c>
      <c r="N6" s="118" t="s">
        <v>34</v>
      </c>
      <c r="O6" s="40" t="s">
        <v>82</v>
      </c>
      <c r="P6" s="41" t="s">
        <v>35</v>
      </c>
      <c r="Q6" s="40" t="s">
        <v>82</v>
      </c>
      <c r="R6" s="40" t="s">
        <v>34</v>
      </c>
      <c r="S6" s="40" t="s">
        <v>34</v>
      </c>
      <c r="T6" s="40" t="s">
        <v>34</v>
      </c>
      <c r="U6" s="118" t="s">
        <v>82</v>
      </c>
      <c r="V6" s="40" t="s">
        <v>34</v>
      </c>
      <c r="W6" s="41" t="s">
        <v>35</v>
      </c>
      <c r="X6" s="40" t="s">
        <v>34</v>
      </c>
      <c r="Y6" s="40"/>
      <c r="Z6" s="41"/>
      <c r="AA6" s="118"/>
      <c r="AB6" s="118"/>
      <c r="AC6" s="40"/>
      <c r="AD6" s="41" t="s">
        <v>35</v>
      </c>
      <c r="AE6" s="41"/>
      <c r="AF6" s="40"/>
      <c r="AG6" s="41"/>
      <c r="AH6" s="44">
        <f t="shared" si="1"/>
        <v>18</v>
      </c>
      <c r="AI6" s="44">
        <f t="shared" si="2"/>
        <v>0</v>
      </c>
      <c r="AJ6" s="44">
        <f t="shared" si="3"/>
        <v>4</v>
      </c>
      <c r="AK6" s="44">
        <f t="shared" si="4"/>
        <v>0</v>
      </c>
      <c r="AL6" s="44">
        <f t="shared" si="5"/>
        <v>0</v>
      </c>
      <c r="AM6" s="44">
        <f t="shared" si="6"/>
        <v>0</v>
      </c>
      <c r="AN6" s="119">
        <f t="shared" si="7"/>
        <v>22</v>
      </c>
      <c r="AO6" s="51">
        <v>7000.0</v>
      </c>
      <c r="AP6" s="53">
        <f t="shared" si="8"/>
        <v>233.3333333</v>
      </c>
      <c r="AQ6" s="53">
        <f t="shared" si="9"/>
        <v>5133.333333</v>
      </c>
      <c r="AR6" s="54">
        <v>0.0</v>
      </c>
      <c r="AS6" s="55">
        <f t="shared" si="10"/>
        <v>5133.333333</v>
      </c>
      <c r="AT6" s="54">
        <v>0.0</v>
      </c>
      <c r="AU6" s="122">
        <f t="shared" si="11"/>
        <v>5133.333333</v>
      </c>
    </row>
    <row r="7">
      <c r="A7" s="115">
        <v>4.0</v>
      </c>
      <c r="B7" s="116" t="s">
        <v>45</v>
      </c>
      <c r="C7" s="117" t="s">
        <v>40</v>
      </c>
      <c r="D7" s="40" t="s">
        <v>34</v>
      </c>
      <c r="E7" s="40" t="s">
        <v>34</v>
      </c>
      <c r="F7" s="40" t="s">
        <v>34</v>
      </c>
      <c r="G7" s="121" t="s">
        <v>35</v>
      </c>
      <c r="H7" s="41" t="s">
        <v>6</v>
      </c>
      <c r="I7" s="41" t="s">
        <v>35</v>
      </c>
      <c r="J7" s="40" t="s">
        <v>34</v>
      </c>
      <c r="K7" s="40" t="s">
        <v>34</v>
      </c>
      <c r="L7" s="40" t="s">
        <v>34</v>
      </c>
      <c r="M7" s="40" t="s">
        <v>34</v>
      </c>
      <c r="N7" s="118" t="s">
        <v>34</v>
      </c>
      <c r="O7" s="40" t="s">
        <v>82</v>
      </c>
      <c r="P7" s="41" t="s">
        <v>35</v>
      </c>
      <c r="Q7" s="40" t="s">
        <v>82</v>
      </c>
      <c r="R7" s="40" t="s">
        <v>34</v>
      </c>
      <c r="S7" s="40" t="s">
        <v>34</v>
      </c>
      <c r="T7" s="40" t="s">
        <v>34</v>
      </c>
      <c r="U7" s="118" t="s">
        <v>82</v>
      </c>
      <c r="V7" s="40" t="s">
        <v>34</v>
      </c>
      <c r="W7" s="41" t="s">
        <v>35</v>
      </c>
      <c r="X7" s="40" t="s">
        <v>6</v>
      </c>
      <c r="Y7" s="40"/>
      <c r="Z7" s="41"/>
      <c r="AA7" s="118"/>
      <c r="AB7" s="118"/>
      <c r="AC7" s="40"/>
      <c r="AD7" s="41" t="s">
        <v>35</v>
      </c>
      <c r="AE7" s="41"/>
      <c r="AF7" s="40"/>
      <c r="AG7" s="41"/>
      <c r="AH7" s="44">
        <f t="shared" si="1"/>
        <v>15</v>
      </c>
      <c r="AI7" s="44">
        <f t="shared" si="2"/>
        <v>0</v>
      </c>
      <c r="AJ7" s="44">
        <f t="shared" si="3"/>
        <v>5</v>
      </c>
      <c r="AK7" s="44">
        <f t="shared" si="4"/>
        <v>2</v>
      </c>
      <c r="AL7" s="44">
        <f t="shared" si="5"/>
        <v>0</v>
      </c>
      <c r="AM7" s="44">
        <f t="shared" si="6"/>
        <v>0</v>
      </c>
      <c r="AN7" s="119">
        <f t="shared" si="7"/>
        <v>22</v>
      </c>
      <c r="AO7" s="51">
        <v>25000.0</v>
      </c>
      <c r="AP7" s="53">
        <f t="shared" si="8"/>
        <v>833.3333333</v>
      </c>
      <c r="AQ7" s="53">
        <f t="shared" si="9"/>
        <v>18333.33333</v>
      </c>
      <c r="AR7" s="54">
        <v>200.0</v>
      </c>
      <c r="AS7" s="55">
        <f t="shared" si="10"/>
        <v>18133.33333</v>
      </c>
      <c r="AT7" s="54">
        <v>0.0</v>
      </c>
      <c r="AU7" s="122">
        <f t="shared" si="11"/>
        <v>18133.33333</v>
      </c>
    </row>
    <row r="8">
      <c r="A8" s="115">
        <v>5.0</v>
      </c>
      <c r="B8" s="116" t="s">
        <v>47</v>
      </c>
      <c r="C8" s="117" t="s">
        <v>48</v>
      </c>
      <c r="D8" s="40" t="s">
        <v>34</v>
      </c>
      <c r="E8" s="40" t="s">
        <v>34</v>
      </c>
      <c r="F8" s="40" t="s">
        <v>34</v>
      </c>
      <c r="G8" s="118" t="s">
        <v>34</v>
      </c>
      <c r="H8" s="118" t="s">
        <v>34</v>
      </c>
      <c r="I8" s="41" t="s">
        <v>35</v>
      </c>
      <c r="J8" s="40" t="s">
        <v>34</v>
      </c>
      <c r="K8" s="41" t="s">
        <v>9</v>
      </c>
      <c r="L8" s="40" t="s">
        <v>34</v>
      </c>
      <c r="M8" s="40" t="s">
        <v>34</v>
      </c>
      <c r="N8" s="118" t="s">
        <v>34</v>
      </c>
      <c r="O8" s="40" t="s">
        <v>82</v>
      </c>
      <c r="P8" s="41" t="s">
        <v>35</v>
      </c>
      <c r="Q8" s="40" t="s">
        <v>82</v>
      </c>
      <c r="R8" s="40" t="s">
        <v>34</v>
      </c>
      <c r="S8" s="40" t="s">
        <v>34</v>
      </c>
      <c r="T8" s="40" t="s">
        <v>34</v>
      </c>
      <c r="U8" s="118" t="s">
        <v>82</v>
      </c>
      <c r="V8" s="40" t="s">
        <v>34</v>
      </c>
      <c r="W8" s="41" t="s">
        <v>35</v>
      </c>
      <c r="X8" s="40" t="s">
        <v>34</v>
      </c>
      <c r="Y8" s="40"/>
      <c r="Z8" s="41"/>
      <c r="AA8" s="118"/>
      <c r="AB8" s="118"/>
      <c r="AC8" s="40"/>
      <c r="AD8" s="41" t="s">
        <v>35</v>
      </c>
      <c r="AE8" s="40"/>
      <c r="AF8" s="40"/>
      <c r="AG8" s="41"/>
      <c r="AH8" s="44">
        <f t="shared" si="1"/>
        <v>17</v>
      </c>
      <c r="AI8" s="44">
        <f t="shared" si="2"/>
        <v>0</v>
      </c>
      <c r="AJ8" s="44">
        <f t="shared" si="3"/>
        <v>4</v>
      </c>
      <c r="AK8" s="44">
        <f t="shared" si="4"/>
        <v>0</v>
      </c>
      <c r="AL8" s="44">
        <f t="shared" si="5"/>
        <v>0</v>
      </c>
      <c r="AM8" s="44">
        <f t="shared" si="6"/>
        <v>1</v>
      </c>
      <c r="AN8" s="119">
        <f t="shared" si="7"/>
        <v>21</v>
      </c>
      <c r="AO8" s="51">
        <v>50000.0</v>
      </c>
      <c r="AP8" s="53">
        <f t="shared" si="8"/>
        <v>1666.666667</v>
      </c>
      <c r="AQ8" s="53">
        <f t="shared" si="9"/>
        <v>35000</v>
      </c>
      <c r="AR8" s="54">
        <v>200.0</v>
      </c>
      <c r="AS8" s="55">
        <f t="shared" si="10"/>
        <v>34800</v>
      </c>
      <c r="AT8" s="54">
        <v>0.0</v>
      </c>
      <c r="AU8" s="122">
        <f t="shared" si="11"/>
        <v>34800</v>
      </c>
    </row>
    <row r="9">
      <c r="A9" s="115">
        <v>6.0</v>
      </c>
      <c r="B9" s="116" t="s">
        <v>51</v>
      </c>
      <c r="C9" s="117" t="s">
        <v>48</v>
      </c>
      <c r="D9" s="40" t="s">
        <v>34</v>
      </c>
      <c r="E9" s="40" t="s">
        <v>34</v>
      </c>
      <c r="F9" s="40" t="s">
        <v>34</v>
      </c>
      <c r="G9" s="118" t="s">
        <v>34</v>
      </c>
      <c r="H9" s="118" t="s">
        <v>34</v>
      </c>
      <c r="I9" s="41" t="s">
        <v>35</v>
      </c>
      <c r="J9" s="40" t="s">
        <v>34</v>
      </c>
      <c r="K9" s="40" t="s">
        <v>34</v>
      </c>
      <c r="L9" s="40" t="s">
        <v>34</v>
      </c>
      <c r="M9" s="40" t="s">
        <v>34</v>
      </c>
      <c r="N9" s="118" t="s">
        <v>34</v>
      </c>
      <c r="O9" s="40" t="s">
        <v>82</v>
      </c>
      <c r="P9" s="41" t="s">
        <v>35</v>
      </c>
      <c r="Q9" s="40" t="s">
        <v>82</v>
      </c>
      <c r="R9" s="40" t="s">
        <v>34</v>
      </c>
      <c r="S9" s="40" t="s">
        <v>34</v>
      </c>
      <c r="T9" s="40" t="s">
        <v>34</v>
      </c>
      <c r="U9" s="118" t="s">
        <v>82</v>
      </c>
      <c r="V9" s="40" t="s">
        <v>34</v>
      </c>
      <c r="W9" s="41" t="s">
        <v>35</v>
      </c>
      <c r="X9" s="40" t="s">
        <v>34</v>
      </c>
      <c r="Y9" s="40"/>
      <c r="Z9" s="41"/>
      <c r="AA9" s="118"/>
      <c r="AB9" s="118"/>
      <c r="AC9" s="40"/>
      <c r="AD9" s="41" t="s">
        <v>35</v>
      </c>
      <c r="AE9" s="40"/>
      <c r="AF9" s="40"/>
      <c r="AG9" s="41"/>
      <c r="AH9" s="44">
        <f t="shared" si="1"/>
        <v>18</v>
      </c>
      <c r="AI9" s="44">
        <f t="shared" si="2"/>
        <v>0</v>
      </c>
      <c r="AJ9" s="44">
        <f t="shared" si="3"/>
        <v>4</v>
      </c>
      <c r="AK9" s="44">
        <f t="shared" si="4"/>
        <v>0</v>
      </c>
      <c r="AL9" s="44">
        <f t="shared" si="5"/>
        <v>0</v>
      </c>
      <c r="AM9" s="44">
        <f t="shared" si="6"/>
        <v>0</v>
      </c>
      <c r="AN9" s="119">
        <f t="shared" si="7"/>
        <v>22</v>
      </c>
      <c r="AO9" s="51">
        <v>50000.0</v>
      </c>
      <c r="AP9" s="53">
        <f t="shared" si="8"/>
        <v>1666.666667</v>
      </c>
      <c r="AQ9" s="53">
        <f t="shared" si="9"/>
        <v>36666.66667</v>
      </c>
      <c r="AR9" s="54">
        <v>200.0</v>
      </c>
      <c r="AS9" s="55">
        <f t="shared" si="10"/>
        <v>36466.66667</v>
      </c>
      <c r="AT9" s="54">
        <v>0.0</v>
      </c>
      <c r="AU9" s="122">
        <f t="shared" si="11"/>
        <v>36466.66667</v>
      </c>
    </row>
    <row r="10">
      <c r="A10" s="115">
        <v>7.0</v>
      </c>
      <c r="B10" s="116" t="s">
        <v>55</v>
      </c>
      <c r="C10" s="117" t="s">
        <v>57</v>
      </c>
      <c r="D10" s="40" t="s">
        <v>34</v>
      </c>
      <c r="E10" s="40" t="s">
        <v>34</v>
      </c>
      <c r="F10" s="40" t="s">
        <v>34</v>
      </c>
      <c r="G10" s="118" t="s">
        <v>34</v>
      </c>
      <c r="H10" s="118" t="s">
        <v>34</v>
      </c>
      <c r="I10" s="41" t="s">
        <v>35</v>
      </c>
      <c r="J10" s="40" t="s">
        <v>34</v>
      </c>
      <c r="K10" s="40" t="s">
        <v>34</v>
      </c>
      <c r="L10" s="40" t="s">
        <v>34</v>
      </c>
      <c r="M10" s="40" t="s">
        <v>34</v>
      </c>
      <c r="N10" s="118" t="s">
        <v>34</v>
      </c>
      <c r="O10" s="40" t="s">
        <v>82</v>
      </c>
      <c r="P10" s="41" t="s">
        <v>35</v>
      </c>
      <c r="Q10" s="40" t="s">
        <v>82</v>
      </c>
      <c r="R10" s="40" t="s">
        <v>34</v>
      </c>
      <c r="S10" s="40" t="s">
        <v>34</v>
      </c>
      <c r="T10" s="40" t="s">
        <v>34</v>
      </c>
      <c r="U10" s="118" t="s">
        <v>82</v>
      </c>
      <c r="V10" s="40" t="s">
        <v>34</v>
      </c>
      <c r="W10" s="41" t="s">
        <v>35</v>
      </c>
      <c r="X10" s="40" t="s">
        <v>34</v>
      </c>
      <c r="Y10" s="40"/>
      <c r="Z10" s="41"/>
      <c r="AA10" s="118"/>
      <c r="AB10" s="118"/>
      <c r="AC10" s="40"/>
      <c r="AD10" s="41" t="s">
        <v>35</v>
      </c>
      <c r="AE10" s="40"/>
      <c r="AF10" s="40"/>
      <c r="AG10" s="41"/>
      <c r="AH10" s="44">
        <f t="shared" si="1"/>
        <v>18</v>
      </c>
      <c r="AI10" s="44">
        <f t="shared" si="2"/>
        <v>0</v>
      </c>
      <c r="AJ10" s="44">
        <f t="shared" si="3"/>
        <v>4</v>
      </c>
      <c r="AK10" s="44">
        <f t="shared" si="4"/>
        <v>0</v>
      </c>
      <c r="AL10" s="44">
        <f t="shared" si="5"/>
        <v>0</v>
      </c>
      <c r="AM10" s="44">
        <f t="shared" si="6"/>
        <v>0</v>
      </c>
      <c r="AN10" s="119">
        <f t="shared" si="7"/>
        <v>22</v>
      </c>
      <c r="AO10" s="51">
        <v>12000.0</v>
      </c>
      <c r="AP10" s="53">
        <f t="shared" si="8"/>
        <v>400</v>
      </c>
      <c r="AQ10" s="53">
        <f t="shared" si="9"/>
        <v>8800</v>
      </c>
      <c r="AR10" s="54">
        <v>0.0</v>
      </c>
      <c r="AS10" s="55">
        <f t="shared" si="10"/>
        <v>8800</v>
      </c>
      <c r="AT10" s="54">
        <v>0.0</v>
      </c>
      <c r="AU10" s="122">
        <f t="shared" si="11"/>
        <v>8800</v>
      </c>
    </row>
    <row r="11">
      <c r="A11" s="115">
        <v>8.0</v>
      </c>
      <c r="B11" s="116" t="s">
        <v>64</v>
      </c>
      <c r="C11" s="117" t="s">
        <v>65</v>
      </c>
      <c r="D11" s="40" t="s">
        <v>34</v>
      </c>
      <c r="E11" s="40" t="s">
        <v>34</v>
      </c>
      <c r="F11" s="40" t="s">
        <v>34</v>
      </c>
      <c r="G11" s="118" t="s">
        <v>34</v>
      </c>
      <c r="H11" s="118" t="s">
        <v>34</v>
      </c>
      <c r="I11" s="41" t="s">
        <v>35</v>
      </c>
      <c r="J11" s="40" t="s">
        <v>34</v>
      </c>
      <c r="K11" s="41" t="s">
        <v>6</v>
      </c>
      <c r="L11" s="40" t="s">
        <v>34</v>
      </c>
      <c r="M11" s="40" t="s">
        <v>34</v>
      </c>
      <c r="N11" s="118" t="s">
        <v>34</v>
      </c>
      <c r="O11" s="40" t="s">
        <v>82</v>
      </c>
      <c r="P11" s="41" t="s">
        <v>35</v>
      </c>
      <c r="Q11" s="40" t="s">
        <v>82</v>
      </c>
      <c r="R11" s="40" t="s">
        <v>34</v>
      </c>
      <c r="S11" s="40" t="s">
        <v>34</v>
      </c>
      <c r="T11" s="40" t="s">
        <v>34</v>
      </c>
      <c r="U11" s="118" t="s">
        <v>82</v>
      </c>
      <c r="V11" s="40" t="s">
        <v>34</v>
      </c>
      <c r="W11" s="41" t="s">
        <v>35</v>
      </c>
      <c r="X11" s="40" t="s">
        <v>34</v>
      </c>
      <c r="Y11" s="40"/>
      <c r="Z11" s="41"/>
      <c r="AA11" s="118"/>
      <c r="AB11" s="118"/>
      <c r="AC11" s="40"/>
      <c r="AD11" s="41" t="s">
        <v>35</v>
      </c>
      <c r="AE11" s="41"/>
      <c r="AF11" s="40"/>
      <c r="AG11" s="41"/>
      <c r="AH11" s="44">
        <f t="shared" si="1"/>
        <v>17</v>
      </c>
      <c r="AI11" s="44">
        <f t="shared" si="2"/>
        <v>0</v>
      </c>
      <c r="AJ11" s="44">
        <f t="shared" si="3"/>
        <v>4</v>
      </c>
      <c r="AK11" s="44">
        <f t="shared" si="4"/>
        <v>1</v>
      </c>
      <c r="AL11" s="44">
        <f t="shared" si="5"/>
        <v>0</v>
      </c>
      <c r="AM11" s="44">
        <f t="shared" si="6"/>
        <v>0</v>
      </c>
      <c r="AN11" s="119">
        <f t="shared" si="7"/>
        <v>22</v>
      </c>
      <c r="AO11" s="123">
        <v>10000.0</v>
      </c>
      <c r="AP11" s="53">
        <f t="shared" si="8"/>
        <v>333.3333333</v>
      </c>
      <c r="AQ11" s="53">
        <f t="shared" si="9"/>
        <v>7333.333333</v>
      </c>
      <c r="AR11" s="54">
        <v>0.0</v>
      </c>
      <c r="AS11" s="55">
        <f t="shared" si="10"/>
        <v>7333.333333</v>
      </c>
      <c r="AT11" s="54">
        <v>0.0</v>
      </c>
      <c r="AU11" s="122">
        <f t="shared" si="11"/>
        <v>7333.333333</v>
      </c>
    </row>
    <row r="12">
      <c r="A12" s="115">
        <v>9.0</v>
      </c>
      <c r="B12" s="116" t="s">
        <v>66</v>
      </c>
      <c r="C12" s="117" t="s">
        <v>67</v>
      </c>
      <c r="D12" s="40" t="s">
        <v>34</v>
      </c>
      <c r="E12" s="40" t="s">
        <v>34</v>
      </c>
      <c r="F12" s="40" t="s">
        <v>34</v>
      </c>
      <c r="G12" s="118" t="s">
        <v>34</v>
      </c>
      <c r="H12" s="118" t="s">
        <v>34</v>
      </c>
      <c r="I12" s="41" t="s">
        <v>35</v>
      </c>
      <c r="J12" s="40" t="s">
        <v>34</v>
      </c>
      <c r="K12" s="40" t="s">
        <v>34</v>
      </c>
      <c r="L12" s="40" t="s">
        <v>34</v>
      </c>
      <c r="M12" s="40" t="s">
        <v>34</v>
      </c>
      <c r="N12" s="118" t="s">
        <v>34</v>
      </c>
      <c r="O12" s="40" t="s">
        <v>82</v>
      </c>
      <c r="P12" s="41" t="s">
        <v>35</v>
      </c>
      <c r="Q12" s="40" t="s">
        <v>82</v>
      </c>
      <c r="R12" s="40" t="s">
        <v>34</v>
      </c>
      <c r="S12" s="40" t="s">
        <v>34</v>
      </c>
      <c r="T12" s="40" t="s">
        <v>34</v>
      </c>
      <c r="U12" s="118" t="s">
        <v>82</v>
      </c>
      <c r="V12" s="40" t="s">
        <v>34</v>
      </c>
      <c r="W12" s="41" t="s">
        <v>35</v>
      </c>
      <c r="X12" s="40" t="s">
        <v>34</v>
      </c>
      <c r="Y12" s="40"/>
      <c r="Z12" s="41"/>
      <c r="AA12" s="118"/>
      <c r="AB12" s="118"/>
      <c r="AC12" s="40"/>
      <c r="AD12" s="41" t="s">
        <v>35</v>
      </c>
      <c r="AE12" s="40"/>
      <c r="AF12" s="40"/>
      <c r="AG12" s="41"/>
      <c r="AH12" s="44">
        <f t="shared" si="1"/>
        <v>18</v>
      </c>
      <c r="AI12" s="44">
        <f t="shared" si="2"/>
        <v>0</v>
      </c>
      <c r="AJ12" s="44">
        <f t="shared" si="3"/>
        <v>4</v>
      </c>
      <c r="AK12" s="44">
        <f t="shared" si="4"/>
        <v>0</v>
      </c>
      <c r="AL12" s="44">
        <f t="shared" si="5"/>
        <v>0</v>
      </c>
      <c r="AM12" s="44">
        <f t="shared" si="6"/>
        <v>0</v>
      </c>
      <c r="AN12" s="119">
        <f t="shared" si="7"/>
        <v>22</v>
      </c>
      <c r="AO12" s="123">
        <v>10000.0</v>
      </c>
      <c r="AP12" s="53">
        <f t="shared" si="8"/>
        <v>333.3333333</v>
      </c>
      <c r="AQ12" s="53">
        <f t="shared" si="9"/>
        <v>7333.333333</v>
      </c>
      <c r="AR12" s="54">
        <v>0.0</v>
      </c>
      <c r="AS12" s="55">
        <f t="shared" si="10"/>
        <v>7333.333333</v>
      </c>
      <c r="AT12" s="54">
        <v>0.0</v>
      </c>
      <c r="AU12" s="122">
        <f t="shared" si="11"/>
        <v>7333.333333</v>
      </c>
    </row>
    <row r="13">
      <c r="A13" s="115">
        <v>10.0</v>
      </c>
      <c r="B13" s="115" t="s">
        <v>84</v>
      </c>
      <c r="C13" s="117" t="s">
        <v>85</v>
      </c>
      <c r="D13" s="40" t="s">
        <v>34</v>
      </c>
      <c r="E13" s="40" t="s">
        <v>34</v>
      </c>
      <c r="F13" s="40" t="s">
        <v>34</v>
      </c>
      <c r="G13" s="118" t="s">
        <v>34</v>
      </c>
      <c r="H13" s="118" t="s">
        <v>34</v>
      </c>
      <c r="I13" s="41" t="s">
        <v>35</v>
      </c>
      <c r="J13" s="40" t="s">
        <v>34</v>
      </c>
      <c r="K13" s="40" t="s">
        <v>34</v>
      </c>
      <c r="L13" s="40" t="s">
        <v>34</v>
      </c>
      <c r="M13" s="40" t="s">
        <v>34</v>
      </c>
      <c r="N13" s="118" t="s">
        <v>34</v>
      </c>
      <c r="O13" s="40" t="s">
        <v>82</v>
      </c>
      <c r="P13" s="41" t="s">
        <v>35</v>
      </c>
      <c r="Q13" s="40" t="s">
        <v>82</v>
      </c>
      <c r="R13" s="40" t="s">
        <v>34</v>
      </c>
      <c r="S13" s="40" t="s">
        <v>34</v>
      </c>
      <c r="T13" s="40" t="s">
        <v>34</v>
      </c>
      <c r="U13" s="118" t="s">
        <v>82</v>
      </c>
      <c r="V13" s="40" t="s">
        <v>34</v>
      </c>
      <c r="W13" s="41" t="s">
        <v>35</v>
      </c>
      <c r="X13" s="40" t="s">
        <v>34</v>
      </c>
      <c r="Y13" s="40"/>
      <c r="Z13" s="41"/>
      <c r="AA13" s="118"/>
      <c r="AB13" s="118"/>
      <c r="AC13" s="40"/>
      <c r="AD13" s="41" t="s">
        <v>35</v>
      </c>
      <c r="AE13" s="40"/>
      <c r="AF13" s="40"/>
      <c r="AG13" s="41"/>
      <c r="AH13" s="44">
        <f t="shared" si="1"/>
        <v>18</v>
      </c>
      <c r="AI13" s="44">
        <f t="shared" si="2"/>
        <v>0</v>
      </c>
      <c r="AJ13" s="44">
        <f t="shared" si="3"/>
        <v>4</v>
      </c>
      <c r="AK13" s="44">
        <f t="shared" si="4"/>
        <v>0</v>
      </c>
      <c r="AL13" s="44">
        <f t="shared" si="5"/>
        <v>0</v>
      </c>
      <c r="AM13" s="44">
        <f t="shared" si="6"/>
        <v>0</v>
      </c>
      <c r="AN13" s="119">
        <f t="shared" si="7"/>
        <v>22</v>
      </c>
      <c r="AO13" s="123">
        <v>10000.0</v>
      </c>
      <c r="AP13" s="53">
        <f t="shared" si="8"/>
        <v>333.3333333</v>
      </c>
      <c r="AQ13" s="53">
        <f t="shared" si="9"/>
        <v>7333.333333</v>
      </c>
      <c r="AR13" s="124">
        <v>0.0</v>
      </c>
      <c r="AS13" s="55">
        <f t="shared" si="10"/>
        <v>7333.333333</v>
      </c>
      <c r="AT13" s="54">
        <v>0.0</v>
      </c>
      <c r="AU13" s="122">
        <f t="shared" si="11"/>
        <v>7333.333333</v>
      </c>
    </row>
    <row r="14">
      <c r="A14" s="115">
        <v>11.0</v>
      </c>
      <c r="B14" s="115" t="s">
        <v>86</v>
      </c>
      <c r="C14" s="117" t="s">
        <v>87</v>
      </c>
      <c r="D14" s="40" t="s">
        <v>34</v>
      </c>
      <c r="E14" s="40" t="s">
        <v>34</v>
      </c>
      <c r="F14" s="40" t="s">
        <v>34</v>
      </c>
      <c r="G14" s="118" t="s">
        <v>34</v>
      </c>
      <c r="H14" s="121" t="s">
        <v>6</v>
      </c>
      <c r="I14" s="41" t="s">
        <v>35</v>
      </c>
      <c r="J14" s="40" t="s">
        <v>34</v>
      </c>
      <c r="K14" s="40" t="s">
        <v>34</v>
      </c>
      <c r="L14" s="40" t="s">
        <v>34</v>
      </c>
      <c r="M14" s="40" t="s">
        <v>34</v>
      </c>
      <c r="N14" s="118" t="s">
        <v>34</v>
      </c>
      <c r="O14" s="40" t="s">
        <v>82</v>
      </c>
      <c r="P14" s="41" t="s">
        <v>35</v>
      </c>
      <c r="Q14" s="40" t="s">
        <v>82</v>
      </c>
      <c r="R14" s="40" t="s">
        <v>34</v>
      </c>
      <c r="S14" s="40" t="s">
        <v>34</v>
      </c>
      <c r="T14" s="40" t="s">
        <v>34</v>
      </c>
      <c r="U14" s="118" t="s">
        <v>82</v>
      </c>
      <c r="V14" s="40" t="s">
        <v>34</v>
      </c>
      <c r="W14" s="41" t="s">
        <v>35</v>
      </c>
      <c r="X14" s="40" t="s">
        <v>34</v>
      </c>
      <c r="Y14" s="40"/>
      <c r="Z14" s="41"/>
      <c r="AA14" s="118"/>
      <c r="AB14" s="118"/>
      <c r="AC14" s="40"/>
      <c r="AD14" s="41" t="s">
        <v>35</v>
      </c>
      <c r="AE14" s="118"/>
      <c r="AF14" s="118"/>
      <c r="AG14" s="41"/>
      <c r="AH14" s="44">
        <f t="shared" si="1"/>
        <v>17</v>
      </c>
      <c r="AI14" s="44">
        <f t="shared" si="2"/>
        <v>0</v>
      </c>
      <c r="AJ14" s="44">
        <f t="shared" si="3"/>
        <v>4</v>
      </c>
      <c r="AK14" s="44">
        <f t="shared" si="4"/>
        <v>1</v>
      </c>
      <c r="AL14" s="44">
        <f t="shared" si="5"/>
        <v>0</v>
      </c>
      <c r="AM14" s="44">
        <f t="shared" si="6"/>
        <v>0</v>
      </c>
      <c r="AN14" s="119">
        <f t="shared" si="7"/>
        <v>22</v>
      </c>
      <c r="AO14" s="125">
        <v>54166.67</v>
      </c>
      <c r="AP14" s="53">
        <f t="shared" si="8"/>
        <v>1805.555667</v>
      </c>
      <c r="AQ14" s="53">
        <f t="shared" si="9"/>
        <v>39722.22467</v>
      </c>
      <c r="AR14" s="124">
        <v>200.0</v>
      </c>
      <c r="AS14" s="55">
        <f t="shared" si="10"/>
        <v>39522.22467</v>
      </c>
      <c r="AT14" s="54">
        <v>0.0</v>
      </c>
      <c r="AU14" s="122">
        <f t="shared" si="11"/>
        <v>39522.22467</v>
      </c>
    </row>
    <row r="15">
      <c r="A15" s="115">
        <v>12.0</v>
      </c>
      <c r="B15" s="115" t="s">
        <v>94</v>
      </c>
      <c r="C15" s="117" t="s">
        <v>89</v>
      </c>
      <c r="D15" s="40" t="s">
        <v>34</v>
      </c>
      <c r="E15" s="40" t="s">
        <v>34</v>
      </c>
      <c r="F15" s="40" t="s">
        <v>34</v>
      </c>
      <c r="G15" s="118" t="s">
        <v>34</v>
      </c>
      <c r="H15" s="118" t="s">
        <v>34</v>
      </c>
      <c r="I15" s="41" t="s">
        <v>35</v>
      </c>
      <c r="J15" s="40" t="s">
        <v>34</v>
      </c>
      <c r="K15" s="40" t="s">
        <v>34</v>
      </c>
      <c r="L15" s="40" t="s">
        <v>34</v>
      </c>
      <c r="M15" s="40" t="s">
        <v>34</v>
      </c>
      <c r="N15" s="118" t="s">
        <v>34</v>
      </c>
      <c r="O15" s="40" t="s">
        <v>82</v>
      </c>
      <c r="P15" s="41" t="s">
        <v>35</v>
      </c>
      <c r="Q15" s="40" t="s">
        <v>82</v>
      </c>
      <c r="R15" s="40" t="s">
        <v>34</v>
      </c>
      <c r="S15" s="40" t="s">
        <v>34</v>
      </c>
      <c r="T15" s="40" t="s">
        <v>34</v>
      </c>
      <c r="U15" s="118" t="s">
        <v>82</v>
      </c>
      <c r="V15" s="40" t="s">
        <v>34</v>
      </c>
      <c r="W15" s="41" t="s">
        <v>35</v>
      </c>
      <c r="X15" s="40" t="s">
        <v>34</v>
      </c>
      <c r="Y15" s="40"/>
      <c r="Z15" s="41"/>
      <c r="AA15" s="118"/>
      <c r="AB15" s="118"/>
      <c r="AC15" s="40"/>
      <c r="AD15" s="41" t="s">
        <v>35</v>
      </c>
      <c r="AE15" s="118"/>
      <c r="AF15" s="118"/>
      <c r="AG15" s="41"/>
      <c r="AH15" s="44">
        <f t="shared" si="1"/>
        <v>18</v>
      </c>
      <c r="AI15" s="44">
        <f t="shared" si="2"/>
        <v>0</v>
      </c>
      <c r="AJ15" s="44">
        <f t="shared" si="3"/>
        <v>4</v>
      </c>
      <c r="AK15" s="44">
        <f t="shared" si="4"/>
        <v>0</v>
      </c>
      <c r="AL15" s="44">
        <f t="shared" si="5"/>
        <v>0</v>
      </c>
      <c r="AM15" s="44">
        <f t="shared" si="6"/>
        <v>0</v>
      </c>
      <c r="AN15" s="119">
        <f t="shared" si="7"/>
        <v>22</v>
      </c>
      <c r="AO15" s="123">
        <v>10000.0</v>
      </c>
      <c r="AP15" s="53">
        <f t="shared" si="8"/>
        <v>333.3333333</v>
      </c>
      <c r="AQ15" s="53">
        <f t="shared" si="9"/>
        <v>7333.333333</v>
      </c>
      <c r="AR15" s="124">
        <v>0.0</v>
      </c>
      <c r="AS15" s="55">
        <f t="shared" si="10"/>
        <v>7333.333333</v>
      </c>
      <c r="AT15" s="54">
        <v>0.0</v>
      </c>
      <c r="AU15" s="122">
        <f t="shared" si="11"/>
        <v>7333.333333</v>
      </c>
    </row>
    <row r="16">
      <c r="A16" s="115">
        <v>13.0</v>
      </c>
      <c r="B16" s="116" t="s">
        <v>90</v>
      </c>
      <c r="C16" s="117" t="s">
        <v>48</v>
      </c>
      <c r="D16" s="40" t="s">
        <v>34</v>
      </c>
      <c r="E16" s="40" t="s">
        <v>34</v>
      </c>
      <c r="F16" s="40" t="s">
        <v>34</v>
      </c>
      <c r="G16" s="118" t="s">
        <v>34</v>
      </c>
      <c r="H16" s="118" t="s">
        <v>34</v>
      </c>
      <c r="I16" s="41" t="s">
        <v>35</v>
      </c>
      <c r="J16" s="40" t="s">
        <v>34</v>
      </c>
      <c r="K16" s="40" t="s">
        <v>34</v>
      </c>
      <c r="L16" s="40" t="s">
        <v>34</v>
      </c>
      <c r="M16" s="40" t="s">
        <v>34</v>
      </c>
      <c r="N16" s="118" t="s">
        <v>34</v>
      </c>
      <c r="O16" s="40" t="s">
        <v>82</v>
      </c>
      <c r="P16" s="41" t="s">
        <v>35</v>
      </c>
      <c r="Q16" s="40" t="s">
        <v>82</v>
      </c>
      <c r="R16" s="40" t="s">
        <v>34</v>
      </c>
      <c r="S16" s="40" t="s">
        <v>34</v>
      </c>
      <c r="T16" s="40" t="s">
        <v>34</v>
      </c>
      <c r="U16" s="118" t="s">
        <v>82</v>
      </c>
      <c r="V16" s="40" t="s">
        <v>34</v>
      </c>
      <c r="W16" s="41" t="s">
        <v>35</v>
      </c>
      <c r="X16" s="40" t="s">
        <v>34</v>
      </c>
      <c r="Y16" s="40"/>
      <c r="Z16" s="41"/>
      <c r="AA16" s="118"/>
      <c r="AB16" s="118"/>
      <c r="AC16" s="40"/>
      <c r="AD16" s="41" t="s">
        <v>35</v>
      </c>
      <c r="AE16" s="118"/>
      <c r="AF16" s="118"/>
      <c r="AG16" s="41"/>
      <c r="AH16" s="44">
        <f t="shared" si="1"/>
        <v>18</v>
      </c>
      <c r="AI16" s="44">
        <f t="shared" si="2"/>
        <v>0</v>
      </c>
      <c r="AJ16" s="44">
        <f t="shared" si="3"/>
        <v>4</v>
      </c>
      <c r="AK16" s="44">
        <f t="shared" si="4"/>
        <v>0</v>
      </c>
      <c r="AL16" s="44">
        <f t="shared" si="5"/>
        <v>0</v>
      </c>
      <c r="AM16" s="44">
        <f t="shared" si="6"/>
        <v>0</v>
      </c>
      <c r="AN16" s="119">
        <f t="shared" si="7"/>
        <v>22</v>
      </c>
      <c r="AO16" s="123">
        <v>50000.0</v>
      </c>
      <c r="AP16" s="53">
        <f t="shared" si="8"/>
        <v>1666.666667</v>
      </c>
      <c r="AQ16" s="53">
        <f t="shared" si="9"/>
        <v>36666.66667</v>
      </c>
      <c r="AR16" s="124">
        <v>200.0</v>
      </c>
      <c r="AS16" s="55">
        <f t="shared" si="10"/>
        <v>36466.66667</v>
      </c>
      <c r="AT16" s="54">
        <v>0.0</v>
      </c>
      <c r="AU16" s="122">
        <f t="shared" si="11"/>
        <v>36466.66667</v>
      </c>
    </row>
    <row r="17">
      <c r="A17" s="115">
        <v>14.0</v>
      </c>
      <c r="B17" s="116" t="s">
        <v>91</v>
      </c>
      <c r="C17" s="117" t="s">
        <v>48</v>
      </c>
      <c r="D17" s="40" t="s">
        <v>34</v>
      </c>
      <c r="E17" s="40" t="s">
        <v>34</v>
      </c>
      <c r="F17" s="40" t="s">
        <v>34</v>
      </c>
      <c r="G17" s="118" t="s">
        <v>34</v>
      </c>
      <c r="H17" s="118" t="s">
        <v>34</v>
      </c>
      <c r="I17" s="41" t="s">
        <v>35</v>
      </c>
      <c r="J17" s="40" t="s">
        <v>34</v>
      </c>
      <c r="K17" s="40" t="s">
        <v>34</v>
      </c>
      <c r="L17" s="40" t="s">
        <v>34</v>
      </c>
      <c r="M17" s="40" t="s">
        <v>34</v>
      </c>
      <c r="N17" s="118" t="s">
        <v>34</v>
      </c>
      <c r="O17" s="40" t="s">
        <v>82</v>
      </c>
      <c r="P17" s="41" t="s">
        <v>35</v>
      </c>
      <c r="Q17" s="40" t="s">
        <v>82</v>
      </c>
      <c r="R17" s="40" t="s">
        <v>34</v>
      </c>
      <c r="S17" s="40" t="s">
        <v>34</v>
      </c>
      <c r="T17" s="40" t="s">
        <v>34</v>
      </c>
      <c r="U17" s="118" t="s">
        <v>82</v>
      </c>
      <c r="V17" s="40" t="s">
        <v>34</v>
      </c>
      <c r="W17" s="41" t="s">
        <v>35</v>
      </c>
      <c r="X17" s="40" t="s">
        <v>34</v>
      </c>
      <c r="Y17" s="40"/>
      <c r="Z17" s="41"/>
      <c r="AA17" s="118"/>
      <c r="AB17" s="118"/>
      <c r="AC17" s="40"/>
      <c r="AD17" s="41" t="s">
        <v>35</v>
      </c>
      <c r="AE17" s="121"/>
      <c r="AF17" s="118"/>
      <c r="AG17" s="41"/>
      <c r="AH17" s="44">
        <f t="shared" si="1"/>
        <v>18</v>
      </c>
      <c r="AI17" s="44">
        <f t="shared" si="2"/>
        <v>0</v>
      </c>
      <c r="AJ17" s="44">
        <f t="shared" si="3"/>
        <v>4</v>
      </c>
      <c r="AK17" s="44">
        <f t="shared" si="4"/>
        <v>0</v>
      </c>
      <c r="AL17" s="44">
        <f t="shared" si="5"/>
        <v>0</v>
      </c>
      <c r="AM17" s="44">
        <f t="shared" si="6"/>
        <v>0</v>
      </c>
      <c r="AN17" s="119">
        <f t="shared" si="7"/>
        <v>22</v>
      </c>
      <c r="AO17" s="123">
        <v>50000.0</v>
      </c>
      <c r="AP17" s="53">
        <f t="shared" si="8"/>
        <v>1666.666667</v>
      </c>
      <c r="AQ17" s="53">
        <f t="shared" si="9"/>
        <v>36666.66667</v>
      </c>
      <c r="AR17" s="124">
        <v>200.0</v>
      </c>
      <c r="AS17" s="55">
        <f t="shared" si="10"/>
        <v>36466.66667</v>
      </c>
      <c r="AT17" s="54">
        <v>0.0</v>
      </c>
      <c r="AU17" s="122">
        <f t="shared" si="11"/>
        <v>36466.66667</v>
      </c>
    </row>
    <row r="18">
      <c r="A18" s="115">
        <v>15.0</v>
      </c>
      <c r="B18" s="115" t="s">
        <v>92</v>
      </c>
      <c r="C18" s="126" t="s">
        <v>93</v>
      </c>
      <c r="D18" s="40" t="s">
        <v>34</v>
      </c>
      <c r="E18" s="40" t="s">
        <v>34</v>
      </c>
      <c r="F18" s="40" t="s">
        <v>34</v>
      </c>
      <c r="G18" s="118" t="s">
        <v>34</v>
      </c>
      <c r="H18" s="118" t="s">
        <v>34</v>
      </c>
      <c r="I18" s="41" t="s">
        <v>35</v>
      </c>
      <c r="J18" s="40" t="s">
        <v>34</v>
      </c>
      <c r="K18" s="40" t="s">
        <v>34</v>
      </c>
      <c r="L18" s="41" t="s">
        <v>9</v>
      </c>
      <c r="M18" s="40" t="s">
        <v>34</v>
      </c>
      <c r="N18" s="118" t="s">
        <v>34</v>
      </c>
      <c r="O18" s="40" t="s">
        <v>6</v>
      </c>
      <c r="P18" s="128" t="s">
        <v>35</v>
      </c>
      <c r="Q18" s="128" t="s">
        <v>61</v>
      </c>
      <c r="R18" s="128" t="s">
        <v>61</v>
      </c>
      <c r="S18" s="128" t="s">
        <v>61</v>
      </c>
      <c r="T18" s="128" t="s">
        <v>61</v>
      </c>
      <c r="U18" s="128" t="s">
        <v>61</v>
      </c>
      <c r="V18" s="128" t="s">
        <v>61</v>
      </c>
      <c r="W18" s="128" t="s">
        <v>61</v>
      </c>
      <c r="X18" s="129" t="s">
        <v>61</v>
      </c>
      <c r="Y18" s="129" t="s">
        <v>61</v>
      </c>
      <c r="Z18" s="129" t="s">
        <v>61</v>
      </c>
      <c r="AA18" s="129" t="s">
        <v>61</v>
      </c>
      <c r="AB18" s="130" t="s">
        <v>61</v>
      </c>
      <c r="AC18" s="130" t="s">
        <v>61</v>
      </c>
      <c r="AD18" s="130" t="s">
        <v>61</v>
      </c>
      <c r="AE18" s="130" t="s">
        <v>61</v>
      </c>
      <c r="AF18" s="130" t="s">
        <v>61</v>
      </c>
      <c r="AG18" s="130" t="s">
        <v>61</v>
      </c>
      <c r="AH18" s="44">
        <f t="shared" si="1"/>
        <v>9</v>
      </c>
      <c r="AI18" s="44">
        <f t="shared" si="2"/>
        <v>17</v>
      </c>
      <c r="AJ18" s="44">
        <f t="shared" si="3"/>
        <v>2</v>
      </c>
      <c r="AK18" s="44">
        <f t="shared" si="4"/>
        <v>1</v>
      </c>
      <c r="AL18" s="44">
        <f t="shared" si="5"/>
        <v>0</v>
      </c>
      <c r="AM18" s="44">
        <f t="shared" si="6"/>
        <v>1</v>
      </c>
      <c r="AN18" s="119">
        <f t="shared" si="7"/>
        <v>12</v>
      </c>
      <c r="AO18" s="123">
        <v>30000.0</v>
      </c>
      <c r="AP18" s="53">
        <f t="shared" si="8"/>
        <v>1000</v>
      </c>
      <c r="AQ18" s="53">
        <f t="shared" si="9"/>
        <v>12000</v>
      </c>
      <c r="AR18" s="124">
        <v>200.0</v>
      </c>
      <c r="AS18" s="55">
        <f t="shared" si="10"/>
        <v>11800</v>
      </c>
      <c r="AT18" s="54">
        <v>0.0</v>
      </c>
      <c r="AU18" s="122">
        <f t="shared" si="11"/>
        <v>11800</v>
      </c>
    </row>
  </sheetData>
  <mergeCells count="17">
    <mergeCell ref="A2:A3"/>
    <mergeCell ref="B2:B3"/>
    <mergeCell ref="C2:C3"/>
    <mergeCell ref="AH2:AH3"/>
    <mergeCell ref="AI2:AI3"/>
    <mergeCell ref="AJ2:AJ3"/>
    <mergeCell ref="AK2:AK3"/>
    <mergeCell ref="AS2:AS3"/>
    <mergeCell ref="AT2:AT3"/>
    <mergeCell ref="AU2:AU3"/>
    <mergeCell ref="AL2:AL3"/>
    <mergeCell ref="AM2:AM3"/>
    <mergeCell ref="AN2:AN3"/>
    <mergeCell ref="AO2:AO3"/>
    <mergeCell ref="AP2:AP3"/>
    <mergeCell ref="AQ2:AQ3"/>
    <mergeCell ref="AR2:AR3"/>
  </mergeCells>
  <drawing r:id="rId1"/>
</worksheet>
</file>